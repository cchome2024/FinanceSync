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220" activeTab="1"/>
  </bookViews>
  <sheets>
    <sheet name="业务收入表(2025年)" sheetId="1" r:id="rId1"/>
    <sheet name="总收入" sheetId="2" r:id="rId2"/>
    <sheet name="资产" sheetId="3" r:id="rId3"/>
    <sheet name="至明" sheetId="4" r:id="rId4"/>
    <sheet name="明启星" sheetId="5" r:id="rId5"/>
  </sheets>
  <definedNames>
    <definedName name="_xlnm._FilterDatabase" localSheetId="1" hidden="1">总收入!$A$1:$K$265</definedName>
    <definedName name="_xlnm._FilterDatabase" localSheetId="2" hidden="1">资产!$C$1:$C$86</definedName>
    <definedName name="_xlnm._FilterDatabase" localSheetId="4" hidden="1">明启星!$E$1:$E$139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C78" authorId="0">
      <text>
        <r>
          <rPr>
            <b/>
            <sz val="9"/>
            <color rgb="FF000000"/>
            <rFont val="宋体"/>
            <charset val="134"/>
          </rPr>
          <t>2025/6/4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81" authorId="0">
      <text>
        <r>
          <rPr>
            <b/>
            <sz val="9"/>
            <color rgb="FF000000"/>
            <rFont val="宋体"/>
            <charset val="134"/>
          </rPr>
          <t>2025/6/6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86" authorId="0">
      <text>
        <r>
          <rPr>
            <b/>
            <sz val="9"/>
            <color rgb="FF000000"/>
            <rFont val="宋体"/>
            <charset val="134"/>
          </rPr>
          <t>2025/6/9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95" authorId="0">
      <text>
        <r>
          <rPr>
            <b/>
            <sz val="9"/>
            <color rgb="FF000000"/>
            <rFont val="宋体"/>
            <charset val="134"/>
          </rPr>
          <t>2025/6/23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00" authorId="0">
      <text>
        <r>
          <rPr>
            <b/>
            <sz val="9"/>
            <color rgb="FF000000"/>
            <rFont val="宋体"/>
            <charset val="134"/>
          </rPr>
          <t>2025/6/27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02" authorId="0">
      <text>
        <r>
          <rPr>
            <b/>
            <sz val="9"/>
            <color rgb="FF000000"/>
            <rFont val="宋体"/>
            <charset val="134"/>
          </rPr>
          <t>2025/6/30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06" authorId="0">
      <text>
        <r>
          <rPr>
            <b/>
            <sz val="9"/>
            <color rgb="FF000000"/>
            <rFont val="宋体"/>
            <charset val="134"/>
          </rPr>
          <t>2025/7/5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09" authorId="0">
      <text>
        <r>
          <rPr>
            <b/>
            <sz val="9"/>
            <color rgb="FF000000"/>
            <rFont val="宋体"/>
            <charset val="134"/>
          </rPr>
          <t>2025/7/9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19" authorId="0">
      <text>
        <r>
          <rPr>
            <b/>
            <sz val="9"/>
            <color rgb="FF000000"/>
            <rFont val="宋体"/>
            <charset val="134"/>
          </rPr>
          <t>2025/7/25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31" authorId="0">
      <text>
        <r>
          <rPr>
            <b/>
            <sz val="9"/>
            <rFont val="宋体"/>
            <charset val="134"/>
          </rPr>
          <t>2025/8/1 退款2笔</t>
        </r>
        <r>
          <rPr>
            <sz val="10"/>
            <rFont val="宋体"/>
            <charset val="134"/>
          </rPr>
          <t xml:space="preserve">
  - 李亚楠</t>
        </r>
      </text>
    </comment>
    <comment ref="C136" authorId="0">
      <text>
        <r>
          <rPr>
            <b/>
            <sz val="9"/>
            <rFont val="宋体"/>
            <charset val="134"/>
          </rPr>
          <t>2025/8/3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43" authorId="0">
      <text>
        <r>
          <rPr>
            <b/>
            <sz val="9"/>
            <rFont val="宋体"/>
            <charset val="134"/>
          </rPr>
          <t>2025/8/14 退款2笔</t>
        </r>
        <r>
          <rPr>
            <sz val="10"/>
            <rFont val="宋体"/>
            <charset val="134"/>
          </rPr>
          <t xml:space="preserve">
  - 李亚楠</t>
        </r>
      </text>
    </comment>
    <comment ref="C145" authorId="0">
      <text>
        <r>
          <rPr>
            <b/>
            <sz val="9"/>
            <rFont val="宋体"/>
            <charset val="134"/>
          </rPr>
          <t>2025/8/14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48" authorId="0">
      <text>
        <r>
          <rPr>
            <b/>
            <sz val="9"/>
            <rFont val="宋体"/>
            <charset val="134"/>
          </rPr>
          <t>2025/8/19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49" authorId="0">
      <text>
        <r>
          <rPr>
            <b/>
            <sz val="9"/>
            <rFont val="宋体"/>
            <charset val="134"/>
          </rPr>
          <t>2025/8/17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57" authorId="0">
      <text>
        <r>
          <rPr>
            <b/>
            <sz val="9"/>
            <rFont val="宋体"/>
            <charset val="134"/>
          </rPr>
          <t>2025/8/25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59" authorId="0">
      <text>
        <r>
          <rPr>
            <b/>
            <sz val="9"/>
            <rFont val="宋体"/>
            <charset val="134"/>
          </rPr>
          <t>2025/8/26 退款2笔</t>
        </r>
        <r>
          <rPr>
            <sz val="10"/>
            <rFont val="宋体"/>
            <charset val="134"/>
          </rPr>
          <t xml:space="preserve">
  - 李亚楠</t>
        </r>
      </text>
    </comment>
    <comment ref="C161" authorId="0">
      <text>
        <r>
          <rPr>
            <b/>
            <sz val="9"/>
            <rFont val="宋体"/>
            <charset val="134"/>
          </rPr>
          <t>2025/8/27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64" authorId="0">
      <text>
        <r>
          <rPr>
            <b/>
            <sz val="9"/>
            <rFont val="宋体"/>
            <charset val="134"/>
          </rPr>
          <t>2025/8/29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93" authorId="0">
      <text>
        <r>
          <rPr>
            <b/>
            <sz val="9"/>
            <rFont val="宋体"/>
            <charset val="134"/>
          </rPr>
          <t>2025/9/1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197" authorId="0">
      <text>
        <r>
          <rPr>
            <b/>
            <sz val="9"/>
            <rFont val="宋体"/>
            <charset val="134"/>
          </rPr>
          <t>2025/9/1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201" authorId="0">
      <text>
        <r>
          <rPr>
            <b/>
            <sz val="9"/>
            <rFont val="宋体"/>
            <charset val="134"/>
          </rPr>
          <t>2025/9/7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203" authorId="0">
      <text>
        <r>
          <rPr>
            <b/>
            <sz val="9"/>
            <rFont val="宋体"/>
            <charset val="134"/>
          </rPr>
          <t>2025/9/9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210" authorId="0">
      <text>
        <r>
          <rPr>
            <b/>
            <sz val="9"/>
            <rFont val="宋体"/>
            <charset val="134"/>
          </rPr>
          <t>2025/9/16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213" authorId="0">
      <text>
        <r>
          <rPr>
            <b/>
            <sz val="9"/>
            <rFont val="宋体"/>
            <charset val="134"/>
          </rPr>
          <t>2025/9/19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215" authorId="0">
      <text>
        <r>
          <rPr>
            <b/>
            <sz val="9"/>
            <rFont val="宋体"/>
            <charset val="134"/>
          </rPr>
          <t>2025/9/20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249" authorId="0">
      <text>
        <r>
          <rPr>
            <b/>
            <sz val="9"/>
            <rFont val="宋体"/>
            <charset val="134"/>
          </rPr>
          <t>2025/10/04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C261" authorId="0">
      <text>
        <r>
          <rPr>
            <b/>
            <sz val="9"/>
            <rFont val="宋体"/>
            <charset val="134"/>
          </rPr>
          <t>2025/10/19 退款1笔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 xml:space="preserve">
  - 李亚楠</t>
        </r>
      </text>
    </comment>
    <comment ref="C263" authorId="0">
      <text>
        <r>
          <rPr>
            <b/>
            <sz val="9"/>
            <rFont val="宋体"/>
            <charset val="134"/>
          </rPr>
          <t>2025/10/20 退款1笔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2025/10/21 退款1笔</t>
        </r>
        <r>
          <rPr>
            <sz val="10"/>
            <rFont val="宋体"/>
            <charset val="134"/>
          </rPr>
          <t xml:space="preserve">
  - 李亚楠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B9" authorId="0">
      <text>
        <r>
          <rPr>
            <b/>
            <sz val="9"/>
            <color rgb="FF000000"/>
            <rFont val="宋体"/>
            <charset val="134"/>
          </rPr>
          <t>2025/6/4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12" authorId="0">
      <text>
        <r>
          <rPr>
            <b/>
            <sz val="9"/>
            <color rgb="FF000000"/>
            <rFont val="宋体"/>
            <charset val="134"/>
          </rPr>
          <t>2025/6/6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17" authorId="0">
      <text>
        <r>
          <rPr>
            <b/>
            <sz val="9"/>
            <color rgb="FF000000"/>
            <rFont val="宋体"/>
            <charset val="134"/>
          </rPr>
          <t>2025/6/9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26" authorId="0">
      <text>
        <r>
          <rPr>
            <b/>
            <sz val="9"/>
            <color rgb="FF000000"/>
            <rFont val="宋体"/>
            <charset val="134"/>
          </rPr>
          <t>2025/6/23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31" authorId="0">
      <text>
        <r>
          <rPr>
            <b/>
            <sz val="9"/>
            <color rgb="FF000000"/>
            <rFont val="宋体"/>
            <charset val="134"/>
          </rPr>
          <t>2025/6/27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33" authorId="0">
      <text>
        <r>
          <rPr>
            <b/>
            <sz val="9"/>
            <color rgb="FF000000"/>
            <rFont val="宋体"/>
            <charset val="134"/>
          </rPr>
          <t>2025/6/30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37" authorId="0">
      <text>
        <r>
          <rPr>
            <b/>
            <sz val="9"/>
            <color rgb="FF000000"/>
            <rFont val="宋体"/>
            <charset val="134"/>
          </rPr>
          <t>2025/7/5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40" authorId="0">
      <text>
        <r>
          <rPr>
            <b/>
            <sz val="9"/>
            <color rgb="FF000000"/>
            <rFont val="宋体"/>
            <charset val="134"/>
          </rPr>
          <t>2025/7/9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50" authorId="0">
      <text>
        <r>
          <rPr>
            <b/>
            <sz val="9"/>
            <color rgb="FF000000"/>
            <rFont val="宋体"/>
            <charset val="134"/>
          </rPr>
          <t>2025/7/25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53" authorId="0">
      <text>
        <r>
          <rPr>
            <b/>
            <sz val="9"/>
            <rFont val="宋体"/>
            <charset val="134"/>
          </rPr>
          <t>2025/8/1 退款2笔</t>
        </r>
        <r>
          <rPr>
            <sz val="10"/>
            <rFont val="宋体"/>
            <charset val="134"/>
          </rPr>
          <t xml:space="preserve">
  - 李亚楠</t>
        </r>
      </text>
    </comment>
    <comment ref="B58" authorId="0">
      <text>
        <r>
          <rPr>
            <b/>
            <sz val="9"/>
            <rFont val="宋体"/>
            <charset val="134"/>
          </rPr>
          <t>2025/8/3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65" authorId="0">
      <text>
        <r>
          <rPr>
            <b/>
            <sz val="9"/>
            <rFont val="宋体"/>
            <charset val="134"/>
          </rPr>
          <t>2025/8/14 退款2笔</t>
        </r>
        <r>
          <rPr>
            <sz val="10"/>
            <rFont val="宋体"/>
            <charset val="134"/>
          </rPr>
          <t xml:space="preserve">
  - 李亚楠</t>
        </r>
      </text>
    </comment>
    <comment ref="B67" authorId="0">
      <text>
        <r>
          <rPr>
            <b/>
            <sz val="9"/>
            <rFont val="宋体"/>
            <charset val="134"/>
          </rPr>
          <t>2025/8/14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70" authorId="0">
      <text>
        <r>
          <rPr>
            <b/>
            <sz val="9"/>
            <rFont val="宋体"/>
            <charset val="134"/>
          </rPr>
          <t>2025/8/19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71" authorId="0">
      <text>
        <r>
          <rPr>
            <b/>
            <sz val="9"/>
            <rFont val="宋体"/>
            <charset val="134"/>
          </rPr>
          <t>2025/8/17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79" authorId="0">
      <text>
        <r>
          <rPr>
            <b/>
            <sz val="9"/>
            <rFont val="宋体"/>
            <charset val="134"/>
          </rPr>
          <t>2025/8/25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81" authorId="0">
      <text>
        <r>
          <rPr>
            <b/>
            <sz val="9"/>
            <rFont val="宋体"/>
            <charset val="134"/>
          </rPr>
          <t>2025/8/26 退款2笔</t>
        </r>
        <r>
          <rPr>
            <sz val="10"/>
            <rFont val="宋体"/>
            <charset val="134"/>
          </rPr>
          <t xml:space="preserve">
  - 李亚楠</t>
        </r>
      </text>
    </comment>
    <comment ref="B83" authorId="0">
      <text>
        <r>
          <rPr>
            <b/>
            <sz val="9"/>
            <rFont val="宋体"/>
            <charset val="134"/>
          </rPr>
          <t>2025/8/27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86" authorId="0">
      <text>
        <r>
          <rPr>
            <b/>
            <sz val="9"/>
            <rFont val="宋体"/>
            <charset val="134"/>
          </rPr>
          <t>2025/8/29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90" authorId="0">
      <text>
        <r>
          <rPr>
            <b/>
            <sz val="9"/>
            <rFont val="宋体"/>
            <charset val="134"/>
          </rPr>
          <t>2025/9/1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94" authorId="0">
      <text>
        <r>
          <rPr>
            <b/>
            <sz val="9"/>
            <rFont val="宋体"/>
            <charset val="134"/>
          </rPr>
          <t>2025/9/1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98" authorId="0">
      <text>
        <r>
          <rPr>
            <b/>
            <sz val="9"/>
            <rFont val="宋体"/>
            <charset val="134"/>
          </rPr>
          <t>2025/9/7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100" authorId="0">
      <text>
        <r>
          <rPr>
            <b/>
            <sz val="9"/>
            <rFont val="宋体"/>
            <charset val="134"/>
          </rPr>
          <t>2025/9/9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107" authorId="0">
      <text>
        <r>
          <rPr>
            <b/>
            <sz val="9"/>
            <rFont val="宋体"/>
            <charset val="134"/>
          </rPr>
          <t>2025/9/16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110" authorId="0">
      <text>
        <r>
          <rPr>
            <b/>
            <sz val="9"/>
            <rFont val="宋体"/>
            <charset val="134"/>
          </rPr>
          <t>2025/9/19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112" authorId="0">
      <text>
        <r>
          <rPr>
            <b/>
            <sz val="9"/>
            <rFont val="宋体"/>
            <charset val="134"/>
          </rPr>
          <t>2025/9/20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123" authorId="0">
      <text>
        <r>
          <rPr>
            <b/>
            <sz val="9"/>
            <rFont val="宋体"/>
            <charset val="134"/>
          </rPr>
          <t>2025/10/04 退款1笔</t>
        </r>
        <r>
          <rPr>
            <sz val="10"/>
            <rFont val="宋体"/>
            <charset val="134"/>
          </rPr>
          <t xml:space="preserve">
  - 李亚楠</t>
        </r>
      </text>
    </comment>
    <comment ref="B135" authorId="0">
      <text>
        <r>
          <rPr>
            <b/>
            <sz val="9"/>
            <rFont val="宋体"/>
            <charset val="134"/>
          </rPr>
          <t>2025/10/19 退款1笔</t>
        </r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 xml:space="preserve">
  - 李亚楠</t>
        </r>
      </text>
    </comment>
    <comment ref="B137" authorId="0">
      <text>
        <r>
          <rPr>
            <b/>
            <sz val="9"/>
            <rFont val="宋体"/>
            <charset val="134"/>
          </rPr>
          <t>2025/10/20 退款1笔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2025/10/21 退款1笔</t>
        </r>
        <r>
          <rPr>
            <sz val="10"/>
            <rFont val="宋体"/>
            <charset val="134"/>
          </rPr>
          <t xml:space="preserve">
  - 李亚楠</t>
        </r>
      </text>
    </comment>
  </commentList>
</comments>
</file>

<file path=xl/sharedStrings.xml><?xml version="1.0" encoding="utf-8"?>
<sst xmlns="http://schemas.openxmlformats.org/spreadsheetml/2006/main" count="2963" uniqueCount="118">
  <si>
    <t>求和项:收入(万)</t>
  </si>
  <si>
    <t>月份</t>
  </si>
  <si>
    <t>大类</t>
  </si>
  <si>
    <t>二类</t>
  </si>
  <si>
    <t>费用类型</t>
  </si>
  <si>
    <t>总计</t>
  </si>
  <si>
    <t>互联网基金服务</t>
  </si>
  <si>
    <t>报告服务</t>
  </si>
  <si>
    <t>技术服务费</t>
  </si>
  <si>
    <t>慧聚云端服务</t>
  </si>
  <si>
    <t>诊断服务</t>
  </si>
  <si>
    <t>知识星球</t>
  </si>
  <si>
    <t>咨询服务费</t>
  </si>
  <si>
    <t>培训服务</t>
  </si>
  <si>
    <t>合作培训</t>
  </si>
  <si>
    <t>培训费</t>
  </si>
  <si>
    <t>系统开发</t>
  </si>
  <si>
    <t>AI产品</t>
  </si>
  <si>
    <t>基慧Plus</t>
  </si>
  <si>
    <t>数据服务</t>
  </si>
  <si>
    <t>咨询服务</t>
  </si>
  <si>
    <t>综合咨询</t>
  </si>
  <si>
    <t>资产管理</t>
  </si>
  <si>
    <t>投资顾问</t>
  </si>
  <si>
    <t>浮动投顾费</t>
  </si>
  <si>
    <t>固定投顾费</t>
  </si>
  <si>
    <t>自主募集</t>
  </si>
  <si>
    <t>浮动超额</t>
  </si>
  <si>
    <t>管理费</t>
  </si>
  <si>
    <t>公司</t>
  </si>
  <si>
    <t>发生日期</t>
  </si>
  <si>
    <t>收入金额</t>
  </si>
  <si>
    <t>款项内容</t>
  </si>
  <si>
    <t>对方名称</t>
  </si>
  <si>
    <t>到账账户</t>
  </si>
  <si>
    <t>收入(万)</t>
  </si>
  <si>
    <t>资产</t>
  </si>
  <si>
    <t>慧度全天候1号</t>
  </si>
  <si>
    <t>慧度全天候1号私募证券投资基金</t>
  </si>
  <si>
    <t>银行基本户</t>
  </si>
  <si>
    <t>慧度平安大航海1号</t>
  </si>
  <si>
    <t>国泰君安慧度平安大航海1号私募证券投资基金</t>
  </si>
  <si>
    <t>慧度智胜进取</t>
  </si>
  <si>
    <t>国泰君安慧度智胜进取FOF私募证券投资基金</t>
  </si>
  <si>
    <t>慧度彩图安磐石</t>
  </si>
  <si>
    <t>国泰君安慧度彩图安磐石FOF私募证券投资基金</t>
  </si>
  <si>
    <t>睿信3号（浮动）</t>
  </si>
  <si>
    <t>中信信托有限责任公司</t>
  </si>
  <si>
    <t>睿信3号</t>
  </si>
  <si>
    <t>慧度全天候2号</t>
  </si>
  <si>
    <t>国泰君安慧度全天候２号私募证券投资基金</t>
  </si>
  <si>
    <t>睿信5号</t>
  </si>
  <si>
    <t>基业长青</t>
  </si>
  <si>
    <t>睿信4号</t>
  </si>
  <si>
    <t>睿信4号（浮动）</t>
  </si>
  <si>
    <t>深合睿信</t>
  </si>
  <si>
    <t>基业长青（浮动）</t>
  </si>
  <si>
    <t>国泰君安运营外包户</t>
  </si>
  <si>
    <t>睿信</t>
  </si>
  <si>
    <t>睿信2号</t>
  </si>
  <si>
    <t>睿信2号（浮动）</t>
  </si>
  <si>
    <t>信享睿信</t>
  </si>
  <si>
    <t>中诚</t>
  </si>
  <si>
    <t>中诚信托有限责任公司</t>
  </si>
  <si>
    <t>五矿</t>
  </si>
  <si>
    <t>五矿国际信托有限公司</t>
  </si>
  <si>
    <t>慧度灵活配置1号</t>
  </si>
  <si>
    <t>国泰君安慧度灵活配置1号FOF私募证券投资基金</t>
  </si>
  <si>
    <t>慧度智胜进取2号</t>
  </si>
  <si>
    <t>国泰君安慧度智胜进取2号FOF私募证券投资基金</t>
  </si>
  <si>
    <t>国泰君安慧度平安大航海１号私募证券投资基金</t>
  </si>
  <si>
    <t>星云2号</t>
  </si>
  <si>
    <t>中建投信托股份有限公司</t>
  </si>
  <si>
    <t>睿信5号（浮动）</t>
  </si>
  <si>
    <t>信享睿信（浮动）</t>
  </si>
  <si>
    <t>至明</t>
  </si>
  <si>
    <t>无鱼培训费</t>
  </si>
  <si>
    <t>上海无鱼信息科技有限公司</t>
  </si>
  <si>
    <t>沥众报告服务费</t>
  </si>
  <si>
    <t>上海沥众信息科技有限公司</t>
  </si>
  <si>
    <t>企业微信收款</t>
  </si>
  <si>
    <t>私募组合诊断分析服务</t>
  </si>
  <si>
    <t>微信商户号</t>
  </si>
  <si>
    <t>公募+ETF组合诊断分析服务</t>
  </si>
  <si>
    <t>浙江邦盛科技股份有限公司</t>
  </si>
  <si>
    <t>苏州信托咨询服务费</t>
  </si>
  <si>
    <t>苏州信托有限公司</t>
  </si>
  <si>
    <t>明启星</t>
  </si>
  <si>
    <t>翼画</t>
  </si>
  <si>
    <t>智回</t>
  </si>
  <si>
    <t>国泰君安慧度智胜进取2号FOF私私募证券投资基金</t>
  </si>
  <si>
    <t>睿信4号(浮动）</t>
  </si>
  <si>
    <t>至慧智能助手收款</t>
  </si>
  <si>
    <r>
      <rPr>
        <sz val="11"/>
        <color rgb="FF000000"/>
        <rFont val="等线"/>
        <charset val="134"/>
      </rPr>
      <t>A</t>
    </r>
    <r>
      <rPr>
        <sz val="11"/>
        <color rgb="FF000000"/>
        <rFont val="等线"/>
        <charset val="134"/>
      </rPr>
      <t>I服务</t>
    </r>
  </si>
  <si>
    <t>2025-09-16</t>
  </si>
  <si>
    <t>五矿咨询服务费</t>
  </si>
  <si>
    <t>博禾慧度专享</t>
  </si>
  <si>
    <t>兴业证券股份有限公司博禾慧度专享FOF私募证券投资基金</t>
  </si>
  <si>
    <t>慧度平安大航海1号（销户）</t>
  </si>
  <si>
    <t>全天候1号</t>
  </si>
  <si>
    <t>智胜进取3号</t>
  </si>
  <si>
    <t>国泰海通慧度智胜进取3号ＦＯＦ私募证券投资基金</t>
  </si>
  <si>
    <t>慧度灵活配置2号</t>
  </si>
  <si>
    <t>国泰海通慧度灵活配置2号FOF私募证券投资基金</t>
  </si>
  <si>
    <t>慧度彩图安进取</t>
  </si>
  <si>
    <t>国泰君安慧度彩图安进取FOF私募证券投资基金</t>
  </si>
  <si>
    <t>鹊山翔霄慧度1号</t>
  </si>
  <si>
    <t>国泰海通鹊山翔霄慧度1号专享FOF私募证券投资基金</t>
  </si>
  <si>
    <t>收入类型</t>
  </si>
  <si>
    <t>自主管理</t>
  </si>
  <si>
    <t>投顾管理</t>
  </si>
  <si>
    <t>投顾募集</t>
  </si>
  <si>
    <t>投顾费</t>
  </si>
  <si>
    <t>类型</t>
  </si>
  <si>
    <t>商户号</t>
  </si>
  <si>
    <t>慧度至明</t>
  </si>
  <si>
    <t>至慧智能助手</t>
  </si>
  <si>
    <t>开始董了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</si>
</sst>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/mm/dd;@"/>
  </numFmts>
  <fonts count="29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FF0000"/>
      <name val="等线"/>
      <charset val="134"/>
    </font>
    <font>
      <b/>
      <sz val="12"/>
      <color rgb="FF000000"/>
      <name val="Heiti SC Light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76" fontId="2" fillId="2" borderId="1" xfId="0" applyNumberFormat="1" applyFont="1" applyFill="1" applyBorder="1" applyAlignment="1" applyProtection="1">
      <alignment horizontal="center" vertical="center"/>
    </xf>
    <xf numFmtId="43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14" fontId="1" fillId="0" borderId="1" xfId="0" applyNumberFormat="1" applyFont="1" applyBorder="1" applyAlignment="1" applyProtection="1">
      <alignment horizontal="center" vertical="center"/>
    </xf>
    <xf numFmtId="43" fontId="1" fillId="0" borderId="1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3" fontId="3" fillId="0" borderId="1" xfId="0" applyNumberFormat="1" applyFont="1" applyBorder="1" applyAlignment="1" applyProtection="1">
      <alignment horizontal="center" vertical="center"/>
    </xf>
    <xf numFmtId="177" fontId="1" fillId="0" borderId="1" xfId="0" applyNumberFormat="1" applyFont="1" applyBorder="1" applyAlignment="1" applyProtection="1">
      <alignment horizontal="center" vertical="center"/>
    </xf>
    <xf numFmtId="43" fontId="3" fillId="0" borderId="1" xfId="0" applyNumberFormat="1" applyFont="1" applyBorder="1" applyProtection="1">
      <alignment vertical="center"/>
    </xf>
    <xf numFmtId="43" fontId="1" fillId="0" borderId="1" xfId="0" applyNumberFormat="1" applyFont="1" applyBorder="1" applyProtection="1">
      <alignment vertical="center"/>
    </xf>
    <xf numFmtId="43" fontId="3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177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Protection="1">
      <alignment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43" fontId="1" fillId="0" borderId="0" xfId="0" applyNumberFormat="1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6" fontId="4" fillId="5" borderId="1" xfId="0" applyNumberFormat="1" applyFont="1" applyFill="1" applyBorder="1" applyAlignment="1" applyProtection="1">
      <alignment horizontal="center" vertical="center"/>
    </xf>
    <xf numFmtId="43" fontId="4" fillId="5" borderId="1" xfId="0" applyNumberFormat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horizontal="center" vertical="center"/>
    </xf>
    <xf numFmtId="43" fontId="4" fillId="7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/>
    </xf>
    <xf numFmtId="43" fontId="1" fillId="0" borderId="1" xfId="0" applyNumberFormat="1" applyFont="1" applyBorder="1" applyAlignment="1" applyProtection="1"/>
    <xf numFmtId="0" fontId="1" fillId="7" borderId="1" xfId="0" applyFont="1" applyFill="1" applyBorder="1" applyAlignment="1" applyProtection="1">
      <alignment horizontal="center"/>
    </xf>
    <xf numFmtId="43" fontId="1" fillId="0" borderId="1" xfId="0" applyNumberFormat="1" applyFont="1" applyBorder="1" applyAlignment="1" applyProtection="1">
      <alignment horizontal="center"/>
    </xf>
    <xf numFmtId="0" fontId="1" fillId="8" borderId="1" xfId="0" applyFont="1" applyFill="1" applyBorder="1" applyAlignment="1" applyProtection="1">
      <alignment horizontal="center"/>
    </xf>
    <xf numFmtId="14" fontId="1" fillId="0" borderId="1" xfId="0" applyNumberFormat="1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left" wrapText="1"/>
    </xf>
    <xf numFmtId="0" fontId="1" fillId="0" borderId="1" xfId="0" applyFont="1" applyBorder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horizontal style="thin">
          <color theme="4" tint="-0.499984740745262"/>
        </horizontal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ont>
        <b val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n">
          <color theme="4"/>
        </top>
      </border>
    </dxf>
    <dxf>
      <font>
        <color theme="1"/>
      </font>
    </dxf>
  </dxfs>
  <tableStyles count="1" defaultTableStyle="TableStyleMedium2" defaultPivotStyle="PivotStyleLight16">
    <tableStyle name="PivotStylePreset3_Accent1" table="0" count="10" xr9:uid="{596B0756-EA77-4524-A990-578CE70DFEA9}">
      <tableStyleElement type="wholeTable" dxfId="9"/>
      <tableStyleElement type="headerRow" dxfId="8"/>
      <tableStyleElement type="totalRow" dxfId="7"/>
      <tableStyleElement type="secondRowStripe" dxfId="6"/>
      <tableStyleElement type="secondColumnStripe" dxfId="5"/>
      <tableStyleElement type="first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7" refreshedVersion="5" minRefreshableVersion="3" refreshedDate="45972.7034722222" refreshedBy="mac" recordCount="264">
  <cacheSource type="worksheet">
    <worksheetSource ref="A1:K265" sheet="总收入"/>
  </cacheSource>
  <cacheFields count="11">
    <cacheField name="公司" numFmtId="0">
      <sharedItems count="3">
        <s v="资产"/>
        <s v="至明"/>
        <s v="明启星"/>
      </sharedItems>
    </cacheField>
    <cacheField name="发生日期" numFmtId="0">
      <sharedItems containsDate="1" containsMixedTypes="1" count="148">
        <d v="2025-01-06T00:00:00"/>
        <d v="2025-01-07T00:00:00"/>
        <d v="2025-01-13T00:00:00"/>
        <d v="2025-01-16T00:00:00"/>
        <d v="2025-01-17T00:00:00"/>
        <d v="2025-01-23T00:00:00"/>
        <d v="2025-02-14T00:00:00"/>
        <d v="2025-02-24T00:00:00"/>
        <d v="2025-03-07T00:00:00"/>
        <d v="2025-03-11T00:00:00"/>
        <d v="2025-03-14T00:00:00"/>
        <d v="2025-03-18T00:00:00"/>
        <d v="2025-03-24T00:00:00"/>
        <d v="2025-03-27T00:00:00"/>
        <d v="2025-03-28T00:00:00"/>
        <d v="2025-04-07T00:00:00"/>
        <d v="2025-04-09T00:00:00"/>
        <d v="2025-04-10T00:00:00"/>
        <d v="2025-04-15T00:00:00"/>
        <d v="2025-04-16T00:00:00"/>
        <d v="2025-04-18T00:00:00"/>
        <d v="2025-04-23T00:00:00"/>
        <d v="2025-05-09T00:00:00"/>
        <d v="2025-05-16T00:00:00"/>
        <d v="2025-05-21T00:00:00"/>
        <d v="2025-06-17T00:00:00"/>
        <d v="2025-06-19T00:00:00"/>
        <d v="2025-06-23T00:00:00"/>
        <d v="2025-06-26T00:00:00"/>
        <d v="2025-06-27T00:00:00"/>
        <d v="2025-07-03T00:00:00"/>
        <d v="2025-07-09T00:00:00"/>
        <d v="2025-07-11T00:00:00"/>
        <d v="2025-07-16T00:00:00"/>
        <d v="2025-01-15T00:00:00"/>
        <d v="2025-03-04T00:00:00"/>
        <d v="2025-04-11T00:00:00"/>
        <d v="2025-06-05T00:00:00"/>
        <d v="2025-07-02T00:00:00"/>
        <d v="2025-07-14T00:00:00"/>
        <d v="2025-01-08T00:00:00"/>
        <d v="2025-02-11T00:00:00"/>
        <d v="2025-03-06T00:00:00"/>
        <d v="2025-03-21T00:00:00"/>
        <d v="2025-03-30T00:00:00"/>
        <d v="2025-06-04T00:00:00"/>
        <d v="2025-06-06T00:00:00"/>
        <d v="2025-06-07T00:00:00"/>
        <d v="2025-06-08T00:00:00"/>
        <d v="2025-06-09T00:00:00"/>
        <d v="2025-06-10T00:00:00"/>
        <d v="2025-06-11T00:00:00"/>
        <d v="2025-06-13T00:00:00"/>
        <d v="2025-06-16T00:00:00"/>
        <d v="2025-06-18T00:00:00"/>
        <d v="2025-06-20T00:00:00"/>
        <d v="2025-06-24T00:00:00"/>
        <d v="2025-06-25T00:00:00"/>
        <d v="2025-06-30T00:00:00"/>
        <d v="2025-07-01T00:00:00"/>
        <d v="2025-07-04T00:00:00"/>
        <d v="2025-07-05T00:00:00"/>
        <d v="2025-07-06T00:00:00"/>
        <d v="2025-07-07T00:00:00"/>
        <d v="2025-07-08T00:00:00"/>
        <d v="2025-07-13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9T00:00:00"/>
        <d v="2025-08-05T00:00:00"/>
        <d v="2025-08-15T00:00:00"/>
        <d v="2025-08-21T00:00:00"/>
        <d v="2025-08-27T00:00:00"/>
        <d v="2025-08-09T00:00:00"/>
        <d v="2025-08-01T00:00:00"/>
        <d v="2025-08-02T00:00:00"/>
        <d v="2025-08-03T00:00:00"/>
        <d v="2025-08-04T00:00:00"/>
        <d v="2025-08-06T00:00:00"/>
        <d v="2025-08-08T00:00:00"/>
        <d v="2025-08-12T00:00:00"/>
        <d v="2025-08-13T00:00:00"/>
        <d v="2025-08-14T00:00:00"/>
        <d v="2025-08-16T00:00:00"/>
        <d v="2025-08-17T00:00:00"/>
        <d v="2025-08-19T00:00:00"/>
        <d v="2025-08-20T00:00:00"/>
        <d v="2025-08-22T00:00:00"/>
        <d v="2025-08-23T00:00:00"/>
        <d v="2025-08-24T00:00:00"/>
        <d v="2025-08-25T00:00:00"/>
        <d v="2025-08-26T00:00:00"/>
        <d v="2025-08-28T00:00:00"/>
        <d v="2025-08-29T00:00:00"/>
        <d v="2025-08-30T00:00:00"/>
        <d v="2025-08-31T00:00:00"/>
        <d v="2025-09-03T00:00:00"/>
        <d v="2025-09-04T00:00:00"/>
        <s v="2025-09-16"/>
        <d v="2025-09-23T00:00:00"/>
        <d v="2025-09-28T00:00:00"/>
        <d v="2025-09-08T00:00:00"/>
        <d v="2025-09-09T00:00:00"/>
        <d v="2025-09-11T00:00:00"/>
        <d v="2025-09-16T00:00:00"/>
        <d v="2025-09-20T00:00:00"/>
        <d v="2025-09-22T00:00:00"/>
        <d v="2025-09-26T00:00:00"/>
        <d v="2025-09-29T00:00:00"/>
        <d v="2025-09-01T00:00:00"/>
        <d v="2025-09-02T00:00:00"/>
        <d v="2025-09-05T00:00:00"/>
        <d v="2025-09-06T00:00:00"/>
        <d v="2025-09-07T00:00:00"/>
        <d v="2025-09-10T00:00:00"/>
        <d v="2025-09-12T00:00:00"/>
        <d v="2025-09-13T00:00:00"/>
        <d v="2025-09-14T00:00:00"/>
        <d v="2025-09-17T00:00:00"/>
        <d v="2025-09-19T00:00:00"/>
        <d v="2025-09-21T00:00:00"/>
        <d v="2025-09-24T00:00:00"/>
        <d v="2025-09-25T00:00:00"/>
        <d v="2025-09-27T00:00:00"/>
        <d v="2025-10-10T00:00:00"/>
        <d v="2025-10-13T00:00:00"/>
        <d v="2025-10-14T00:00:00"/>
        <d v="2025-10-16T00:00:00"/>
        <d v="2025-10-17T00:00:00"/>
        <d v="2025-10-20T00:00:00"/>
        <d v="2025-10-01T00:00:00"/>
        <d v="2025-10-04T00:00:00"/>
        <d v="2025-10-08T00:00:00"/>
        <d v="2025-10-19T00:00:00"/>
        <d v="2025-10-23T00:00:00"/>
        <d v="2025-10-27T00:00:00"/>
        <d v="2025-10-03T00:00:00"/>
        <d v="2025-10-05T00:00:00"/>
        <d v="2025-10-15T00:00:00"/>
        <d v="2025-10-21T00:00:00"/>
        <d v="2025-10-22T00:00:00"/>
        <d v="2025-10-25T00:00:00"/>
      </sharedItems>
    </cacheField>
    <cacheField name="收入金额" numFmtId="0">
      <sharedItems containsSemiMixedTypes="0" containsString="0" containsNumber="1" minValue="-1296" maxValue="1970739.27" count="131">
        <n v="15894.33"/>
        <n v="10772.78"/>
        <n v="2844.92"/>
        <n v="7960.79"/>
        <n v="26041.79"/>
        <n v="34692.52"/>
        <n v="4455.04"/>
        <n v="38883.9"/>
        <n v="38094.1"/>
        <n v="27735.78"/>
        <n v="18220.3"/>
        <n v="619.93"/>
        <n v="120741.74"/>
        <n v="47567.09"/>
        <n v="2.51"/>
        <n v="271305.19"/>
        <n v="1970739.27"/>
        <n v="178479.35"/>
        <n v="1387918.57"/>
        <n v="3300.31"/>
        <n v="13601.29"/>
        <n v="69667.88"/>
        <n v="153461.1"/>
        <n v="1298563.48"/>
        <n v="38301.57"/>
        <n v="14721.91"/>
        <n v="4609.24"/>
        <n v="23293.53"/>
        <n v="25830.57"/>
        <n v="4450.35"/>
        <n v="11360.98"/>
        <n v="34688.1"/>
        <n v="295884.13"/>
        <n v="9933.01"/>
        <n v="37606.93"/>
        <n v="28573.39"/>
        <n v="307264.02"/>
        <n v="28738.94"/>
        <n v="114440.61"/>
        <n v="37464.93"/>
        <n v="894304.12"/>
        <n v="187171.69"/>
        <n v="810916.73"/>
        <n v="3429.06"/>
        <n v="302119.98"/>
        <n v="1195169.76"/>
        <n v="71997.51"/>
        <n v="202.48"/>
        <n v="872.22"/>
        <n v="112350.2"/>
        <n v="12670.31"/>
        <n v="23141.89"/>
        <n v="2918.52"/>
        <n v="31454.1"/>
        <n v="25012.29"/>
        <n v="25661.21"/>
        <n v="31551"/>
        <n v="34322.39"/>
        <n v="32358.02"/>
        <n v="2318"/>
        <n v="27341"/>
        <n v="1919.58"/>
        <n v="8552.55"/>
        <n v="1680"/>
        <n v="680"/>
        <n v="210000"/>
        <n v="150000"/>
        <n v="5265"/>
        <n v="9140.82"/>
        <n v="6"/>
        <n v="1088"/>
        <n v="-326.4"/>
        <n v="10585"/>
        <n v="-365"/>
        <n v="2920"/>
        <n v="4380"/>
        <n v="730"/>
        <n v="365"/>
        <n v="3285"/>
        <n v="1095"/>
        <n v="2190"/>
        <n v="5110"/>
        <n v="1825"/>
        <n v="23264.01"/>
        <n v="28542.94"/>
        <n v="78170.67"/>
        <n v="121985.16"/>
        <n v="105563.9"/>
        <n v="29.9"/>
        <n v="59.8"/>
        <n v="4745"/>
        <n v="-730"/>
        <n v="1460"/>
        <n v="8030"/>
        <n v="2555"/>
        <n v="152167.72"/>
        <n v="70735.22"/>
        <n v="134.95"/>
        <n v="4596.41"/>
        <n v="315451.37"/>
        <n v="1445595.82"/>
        <n v="166879.07"/>
        <n v="876593.8"/>
        <n v="77139.2"/>
        <n v="67366.55"/>
        <n v="299"/>
        <n v="128"/>
        <n v="450000"/>
        <n v="3650"/>
        <n v="4601.8"/>
        <n v="197.15"/>
        <n v="26920.05"/>
        <n v="12883.89"/>
        <n v="171123.2"/>
        <n v="23576.49"/>
        <n v="238001.13"/>
        <n v="35089.97"/>
        <n v="14044.41"/>
        <n v="23397.17"/>
        <n v="15437.78"/>
        <n v="14410.43"/>
        <n v="44166.82"/>
        <n v="38021.75"/>
        <n v="648"/>
        <n v="1075"/>
        <n v="1296"/>
        <n v="3667"/>
        <n v="4094"/>
        <n v="3873"/>
        <n v="-648"/>
        <n v="-1296"/>
      </sharedItems>
    </cacheField>
    <cacheField name="款项内容" numFmtId="0">
      <sharedItems count="43">
        <s v="慧度全天候1号"/>
        <s v="慧度平安大航海1号"/>
        <s v="慧度智胜进取"/>
        <s v="慧度彩图安磐石"/>
        <s v="睿信3号（浮动）"/>
        <s v="睿信3号"/>
        <s v="慧度全天候2号"/>
        <s v="睿信5号"/>
        <s v="基业长青"/>
        <s v="睿信4号"/>
        <s v="睿信4号（浮动）"/>
        <s v="深合睿信"/>
        <s v="基业长青（浮动）"/>
        <s v="睿信"/>
        <s v="睿信2号"/>
        <s v="睿信2号（浮动）"/>
        <s v="信享睿信"/>
        <s v="中诚"/>
        <s v="五矿"/>
        <s v="慧度灵活配置1号"/>
        <s v="慧度智胜进取2号"/>
        <s v="星云2号"/>
        <s v="睿信5号（浮动）"/>
        <s v="信享睿信（浮动）"/>
        <s v="无鱼培训费"/>
        <s v="沥众报告服务费"/>
        <s v="企业微信收款"/>
        <s v="技术服务费"/>
        <s v="苏州信托咨询服务费"/>
        <s v="翼画"/>
        <s v="基慧Plus"/>
        <s v="智回"/>
        <s v="知识星球"/>
        <s v="睿信4号(浮动）"/>
        <s v="至慧智能助手收款"/>
        <s v="五矿咨询服务费"/>
        <s v="博禾慧度专享"/>
        <s v="慧度平安大航海1号（销户）"/>
        <s v="全天候1号"/>
        <s v="智胜进取3号"/>
        <s v="慧度灵活配置2号"/>
        <s v="慧度彩图安进取"/>
        <s v="鹊山翔霄慧度1号"/>
      </sharedItems>
    </cacheField>
    <cacheField name="对方名称" numFmtId="0">
      <sharedItems count="30">
        <s v="慧度全天候1号私募证券投资基金"/>
        <s v="国泰君安慧度平安大航海1号私募证券投资基金"/>
        <s v="国泰君安慧度智胜进取FOF私募证券投资基金"/>
        <s v="国泰君安慧度彩图安磐石FOF私募证券投资基金"/>
        <s v="中信信托有限责任公司"/>
        <s v="国泰君安慧度全天候２号私募证券投资基金"/>
        <s v="国泰君安运营外包户"/>
        <s v="中诚信托有限责任公司"/>
        <s v="五矿国际信托有限公司"/>
        <s v="国泰君安慧度灵活配置1号FOF私募证券投资基金"/>
        <s v="国泰君安慧度智胜进取2号FOF私募证券投资基金"/>
        <s v="国泰君安慧度平安大航海１号私募证券投资基金"/>
        <s v="中建投信托股份有限公司"/>
        <s v="上海无鱼信息科技有限公司"/>
        <s v="上海沥众信息科技有限公司"/>
        <s v="私募组合诊断分析服务"/>
        <s v="公募+ETF组合诊断分析服务"/>
        <s v="浙江邦盛科技股份有限公司"/>
        <s v="苏州信托有限公司"/>
        <s v="翼画"/>
        <s v="基慧Plus"/>
        <s v="智回"/>
        <s v="知识星球"/>
        <s v="国泰君安慧度智胜进取2号FOF私私募证券投资基金"/>
        <s v="AI服务"/>
        <s v="兴业证券股份有限公司博禾慧度专享FOF私募证券投资基金"/>
        <s v="国泰海通慧度智胜进取3号ＦＯＦ私募证券投资基金"/>
        <s v="国泰海通慧度灵活配置2号FOF私募证券投资基金"/>
        <s v="国泰君安慧度彩图安进取FOF私募证券投资基金"/>
        <s v="国泰海通鹊山翔霄慧度1号专享FOF私募证券投资基金"/>
      </sharedItems>
    </cacheField>
    <cacheField name="到账账户" numFmtId="0">
      <sharedItems count="2">
        <s v="银行基本户"/>
        <s v="微信商户号"/>
      </sharedItems>
    </cacheField>
    <cacheField name="大类" numFmtId="0">
      <sharedItems count="6">
        <s v="资产管理"/>
        <s v="培训服务"/>
        <s v="互联网基金服务"/>
        <s v="慧聚云端服务"/>
        <s v="系统开发"/>
        <s v="咨询服务"/>
      </sharedItems>
    </cacheField>
    <cacheField name="二类" numFmtId="0">
      <sharedItems count="10">
        <s v="自主募集"/>
        <s v="投资顾问"/>
        <s v="合作培训"/>
        <s v="报告服务"/>
        <s v="诊断服务"/>
        <s v="数据服务"/>
        <s v="综合咨询"/>
        <s v="AI产品"/>
        <s v="基慧Plus"/>
        <s v="知识星球"/>
      </sharedItems>
    </cacheField>
    <cacheField name="费用类型" numFmtId="0">
      <sharedItems count="7">
        <s v="管理费"/>
        <s v="浮动投顾费"/>
        <s v="固定投顾费"/>
        <s v="培训费"/>
        <s v="技术服务费"/>
        <s v="咨询服务费"/>
        <s v="浮动超额"/>
      </sharedItems>
    </cacheField>
    <cacheField name="月份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收入(万)" numFmtId="43">
      <sharedItems containsSemiMixedTypes="0" containsString="0" containsNumber="1" minValue="-0.13" maxValue="197.07" count="113">
        <n v="1.59"/>
        <n v="1.08"/>
        <n v="0.28"/>
        <n v="0.8"/>
        <n v="2.6"/>
        <n v="3.47"/>
        <n v="0.45"/>
        <n v="3.89"/>
        <n v="3.81"/>
        <n v="2.77"/>
        <n v="1.82"/>
        <n v="0.06"/>
        <n v="12.07"/>
        <n v="4.76"/>
        <n v="0"/>
        <n v="27.13"/>
        <n v="197.07"/>
        <n v="17.85"/>
        <n v="138.79"/>
        <n v="0.33"/>
        <n v="1.36"/>
        <n v="6.97"/>
        <n v="15.35"/>
        <n v="129.86"/>
        <n v="3.83"/>
        <n v="1.47"/>
        <n v="0.46"/>
        <n v="2.33"/>
        <n v="2.58"/>
        <n v="1.14"/>
        <n v="29.59"/>
        <n v="0.99"/>
        <n v="3.76"/>
        <n v="2.86"/>
        <n v="30.73"/>
        <n v="2.87"/>
        <n v="11.44"/>
        <n v="3.75"/>
        <n v="89.43"/>
        <n v="18.72"/>
        <n v="81.09"/>
        <n v="0.34"/>
        <n v="30.21"/>
        <n v="119.52"/>
        <n v="7.2"/>
        <n v="0.02"/>
        <n v="0.09"/>
        <n v="11.24"/>
        <n v="1.27"/>
        <n v="2.31"/>
        <n v="0.29"/>
        <n v="3.15"/>
        <n v="2.5"/>
        <n v="2.57"/>
        <n v="3.16"/>
        <n v="3.43"/>
        <n v="3.24"/>
        <n v="0.23"/>
        <n v="2.73"/>
        <n v="0.19"/>
        <n v="0.86"/>
        <n v="0.17"/>
        <n v="0.07"/>
        <n v="21"/>
        <n v="15"/>
        <n v="0.53"/>
        <n v="0.91"/>
        <n v="0.11"/>
        <n v="-0.03"/>
        <n v="1.06"/>
        <n v="-0.04"/>
        <n v="0.44"/>
        <n v="0.04"/>
        <n v="0.22"/>
        <n v="0.51"/>
        <n v="0.18"/>
        <n v="2.85"/>
        <n v="7.82"/>
        <n v="12.2"/>
        <n v="10.56"/>
        <n v="0.01"/>
        <n v="0.47"/>
        <n v="-0.07"/>
        <n v="0.15"/>
        <n v="0.26"/>
        <n v="15.22"/>
        <n v="7.07"/>
        <n v="31.55"/>
        <n v="144.56"/>
        <n v="16.69"/>
        <n v="87.66"/>
        <n v="7.71"/>
        <n v="6.74"/>
        <n v="0.03"/>
        <n v="45"/>
        <n v="0.37"/>
        <n v="2.69"/>
        <n v="1.29"/>
        <n v="17.11"/>
        <n v="2.36"/>
        <n v="23.8"/>
        <n v="3.51"/>
        <n v="1.4"/>
        <n v="2.34"/>
        <n v="1.54"/>
        <n v="1.44"/>
        <n v="4.42"/>
        <n v="3.8"/>
        <n v="0.13"/>
        <n v="0.41"/>
        <n v="0.39"/>
        <n v="-0.06"/>
        <n v="-0.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4">
  <r>
    <x v="0"/>
    <x v="0"/>
    <x v="0"/>
    <x v="0"/>
    <x v="0"/>
    <x v="0"/>
    <x v="0"/>
    <x v="0"/>
    <x v="0"/>
    <x v="0"/>
    <x v="0"/>
  </r>
  <r>
    <x v="0"/>
    <x v="1"/>
    <x v="1"/>
    <x v="1"/>
    <x v="1"/>
    <x v="0"/>
    <x v="0"/>
    <x v="0"/>
    <x v="0"/>
    <x v="0"/>
    <x v="1"/>
  </r>
  <r>
    <x v="0"/>
    <x v="2"/>
    <x v="2"/>
    <x v="2"/>
    <x v="2"/>
    <x v="0"/>
    <x v="0"/>
    <x v="0"/>
    <x v="0"/>
    <x v="0"/>
    <x v="2"/>
  </r>
  <r>
    <x v="0"/>
    <x v="2"/>
    <x v="3"/>
    <x v="3"/>
    <x v="3"/>
    <x v="0"/>
    <x v="0"/>
    <x v="0"/>
    <x v="0"/>
    <x v="0"/>
    <x v="3"/>
  </r>
  <r>
    <x v="0"/>
    <x v="3"/>
    <x v="4"/>
    <x v="4"/>
    <x v="4"/>
    <x v="0"/>
    <x v="0"/>
    <x v="1"/>
    <x v="1"/>
    <x v="0"/>
    <x v="4"/>
  </r>
  <r>
    <x v="0"/>
    <x v="3"/>
    <x v="5"/>
    <x v="5"/>
    <x v="4"/>
    <x v="0"/>
    <x v="0"/>
    <x v="1"/>
    <x v="2"/>
    <x v="0"/>
    <x v="5"/>
  </r>
  <r>
    <x v="0"/>
    <x v="4"/>
    <x v="6"/>
    <x v="6"/>
    <x v="5"/>
    <x v="0"/>
    <x v="0"/>
    <x v="0"/>
    <x v="0"/>
    <x v="0"/>
    <x v="6"/>
  </r>
  <r>
    <x v="0"/>
    <x v="4"/>
    <x v="7"/>
    <x v="7"/>
    <x v="4"/>
    <x v="0"/>
    <x v="0"/>
    <x v="1"/>
    <x v="2"/>
    <x v="0"/>
    <x v="7"/>
  </r>
  <r>
    <x v="0"/>
    <x v="5"/>
    <x v="8"/>
    <x v="8"/>
    <x v="4"/>
    <x v="0"/>
    <x v="0"/>
    <x v="1"/>
    <x v="2"/>
    <x v="0"/>
    <x v="8"/>
  </r>
  <r>
    <x v="0"/>
    <x v="6"/>
    <x v="9"/>
    <x v="9"/>
    <x v="4"/>
    <x v="0"/>
    <x v="0"/>
    <x v="1"/>
    <x v="2"/>
    <x v="1"/>
    <x v="9"/>
  </r>
  <r>
    <x v="0"/>
    <x v="6"/>
    <x v="10"/>
    <x v="10"/>
    <x v="4"/>
    <x v="0"/>
    <x v="0"/>
    <x v="1"/>
    <x v="1"/>
    <x v="1"/>
    <x v="10"/>
  </r>
  <r>
    <x v="0"/>
    <x v="7"/>
    <x v="11"/>
    <x v="11"/>
    <x v="4"/>
    <x v="0"/>
    <x v="0"/>
    <x v="1"/>
    <x v="2"/>
    <x v="1"/>
    <x v="11"/>
  </r>
  <r>
    <x v="0"/>
    <x v="8"/>
    <x v="12"/>
    <x v="12"/>
    <x v="4"/>
    <x v="0"/>
    <x v="0"/>
    <x v="1"/>
    <x v="1"/>
    <x v="2"/>
    <x v="12"/>
  </r>
  <r>
    <x v="0"/>
    <x v="8"/>
    <x v="13"/>
    <x v="8"/>
    <x v="4"/>
    <x v="0"/>
    <x v="0"/>
    <x v="1"/>
    <x v="2"/>
    <x v="2"/>
    <x v="13"/>
  </r>
  <r>
    <x v="0"/>
    <x v="9"/>
    <x v="14"/>
    <x v="3"/>
    <x v="6"/>
    <x v="0"/>
    <x v="0"/>
    <x v="0"/>
    <x v="0"/>
    <x v="2"/>
    <x v="14"/>
  </r>
  <r>
    <x v="0"/>
    <x v="10"/>
    <x v="15"/>
    <x v="13"/>
    <x v="4"/>
    <x v="0"/>
    <x v="0"/>
    <x v="1"/>
    <x v="2"/>
    <x v="2"/>
    <x v="15"/>
  </r>
  <r>
    <x v="0"/>
    <x v="10"/>
    <x v="16"/>
    <x v="13"/>
    <x v="4"/>
    <x v="0"/>
    <x v="0"/>
    <x v="1"/>
    <x v="1"/>
    <x v="2"/>
    <x v="16"/>
  </r>
  <r>
    <x v="0"/>
    <x v="10"/>
    <x v="17"/>
    <x v="14"/>
    <x v="4"/>
    <x v="0"/>
    <x v="0"/>
    <x v="1"/>
    <x v="2"/>
    <x v="2"/>
    <x v="17"/>
  </r>
  <r>
    <x v="0"/>
    <x v="10"/>
    <x v="18"/>
    <x v="15"/>
    <x v="4"/>
    <x v="0"/>
    <x v="0"/>
    <x v="1"/>
    <x v="1"/>
    <x v="2"/>
    <x v="18"/>
  </r>
  <r>
    <x v="0"/>
    <x v="11"/>
    <x v="19"/>
    <x v="16"/>
    <x v="4"/>
    <x v="0"/>
    <x v="0"/>
    <x v="1"/>
    <x v="2"/>
    <x v="2"/>
    <x v="19"/>
  </r>
  <r>
    <x v="0"/>
    <x v="11"/>
    <x v="20"/>
    <x v="11"/>
    <x v="4"/>
    <x v="0"/>
    <x v="0"/>
    <x v="1"/>
    <x v="2"/>
    <x v="2"/>
    <x v="20"/>
  </r>
  <r>
    <x v="0"/>
    <x v="12"/>
    <x v="21"/>
    <x v="17"/>
    <x v="7"/>
    <x v="0"/>
    <x v="0"/>
    <x v="1"/>
    <x v="2"/>
    <x v="2"/>
    <x v="21"/>
  </r>
  <r>
    <x v="0"/>
    <x v="13"/>
    <x v="22"/>
    <x v="18"/>
    <x v="8"/>
    <x v="0"/>
    <x v="0"/>
    <x v="1"/>
    <x v="2"/>
    <x v="2"/>
    <x v="22"/>
  </r>
  <r>
    <x v="0"/>
    <x v="14"/>
    <x v="23"/>
    <x v="12"/>
    <x v="4"/>
    <x v="0"/>
    <x v="0"/>
    <x v="1"/>
    <x v="1"/>
    <x v="2"/>
    <x v="23"/>
  </r>
  <r>
    <x v="0"/>
    <x v="14"/>
    <x v="24"/>
    <x v="8"/>
    <x v="4"/>
    <x v="0"/>
    <x v="0"/>
    <x v="1"/>
    <x v="2"/>
    <x v="2"/>
    <x v="24"/>
  </r>
  <r>
    <x v="0"/>
    <x v="15"/>
    <x v="25"/>
    <x v="0"/>
    <x v="0"/>
    <x v="0"/>
    <x v="0"/>
    <x v="0"/>
    <x v="0"/>
    <x v="3"/>
    <x v="25"/>
  </r>
  <r>
    <x v="0"/>
    <x v="16"/>
    <x v="26"/>
    <x v="19"/>
    <x v="9"/>
    <x v="0"/>
    <x v="0"/>
    <x v="0"/>
    <x v="0"/>
    <x v="3"/>
    <x v="26"/>
  </r>
  <r>
    <x v="0"/>
    <x v="16"/>
    <x v="27"/>
    <x v="3"/>
    <x v="3"/>
    <x v="0"/>
    <x v="0"/>
    <x v="0"/>
    <x v="0"/>
    <x v="3"/>
    <x v="27"/>
  </r>
  <r>
    <x v="0"/>
    <x v="17"/>
    <x v="28"/>
    <x v="2"/>
    <x v="2"/>
    <x v="0"/>
    <x v="0"/>
    <x v="0"/>
    <x v="0"/>
    <x v="3"/>
    <x v="28"/>
  </r>
  <r>
    <x v="0"/>
    <x v="17"/>
    <x v="29"/>
    <x v="20"/>
    <x v="10"/>
    <x v="0"/>
    <x v="0"/>
    <x v="0"/>
    <x v="0"/>
    <x v="3"/>
    <x v="6"/>
  </r>
  <r>
    <x v="0"/>
    <x v="18"/>
    <x v="30"/>
    <x v="1"/>
    <x v="11"/>
    <x v="0"/>
    <x v="0"/>
    <x v="0"/>
    <x v="0"/>
    <x v="3"/>
    <x v="29"/>
  </r>
  <r>
    <x v="0"/>
    <x v="19"/>
    <x v="31"/>
    <x v="5"/>
    <x v="4"/>
    <x v="0"/>
    <x v="0"/>
    <x v="1"/>
    <x v="2"/>
    <x v="3"/>
    <x v="5"/>
  </r>
  <r>
    <x v="0"/>
    <x v="19"/>
    <x v="32"/>
    <x v="4"/>
    <x v="4"/>
    <x v="0"/>
    <x v="0"/>
    <x v="1"/>
    <x v="1"/>
    <x v="3"/>
    <x v="30"/>
  </r>
  <r>
    <x v="0"/>
    <x v="20"/>
    <x v="33"/>
    <x v="21"/>
    <x v="12"/>
    <x v="0"/>
    <x v="0"/>
    <x v="1"/>
    <x v="2"/>
    <x v="3"/>
    <x v="31"/>
  </r>
  <r>
    <x v="0"/>
    <x v="21"/>
    <x v="34"/>
    <x v="8"/>
    <x v="4"/>
    <x v="0"/>
    <x v="0"/>
    <x v="1"/>
    <x v="2"/>
    <x v="3"/>
    <x v="32"/>
  </r>
  <r>
    <x v="0"/>
    <x v="21"/>
    <x v="35"/>
    <x v="7"/>
    <x v="4"/>
    <x v="0"/>
    <x v="0"/>
    <x v="1"/>
    <x v="2"/>
    <x v="3"/>
    <x v="33"/>
  </r>
  <r>
    <x v="0"/>
    <x v="22"/>
    <x v="36"/>
    <x v="22"/>
    <x v="4"/>
    <x v="0"/>
    <x v="0"/>
    <x v="1"/>
    <x v="1"/>
    <x v="4"/>
    <x v="34"/>
  </r>
  <r>
    <x v="0"/>
    <x v="23"/>
    <x v="37"/>
    <x v="9"/>
    <x v="4"/>
    <x v="0"/>
    <x v="0"/>
    <x v="1"/>
    <x v="2"/>
    <x v="4"/>
    <x v="35"/>
  </r>
  <r>
    <x v="0"/>
    <x v="23"/>
    <x v="38"/>
    <x v="10"/>
    <x v="4"/>
    <x v="0"/>
    <x v="0"/>
    <x v="1"/>
    <x v="1"/>
    <x v="4"/>
    <x v="36"/>
  </r>
  <r>
    <x v="0"/>
    <x v="24"/>
    <x v="39"/>
    <x v="8"/>
    <x v="4"/>
    <x v="0"/>
    <x v="0"/>
    <x v="1"/>
    <x v="2"/>
    <x v="4"/>
    <x v="37"/>
  </r>
  <r>
    <x v="0"/>
    <x v="24"/>
    <x v="40"/>
    <x v="12"/>
    <x v="4"/>
    <x v="0"/>
    <x v="0"/>
    <x v="1"/>
    <x v="1"/>
    <x v="4"/>
    <x v="38"/>
  </r>
  <r>
    <x v="0"/>
    <x v="25"/>
    <x v="41"/>
    <x v="14"/>
    <x v="4"/>
    <x v="0"/>
    <x v="0"/>
    <x v="1"/>
    <x v="2"/>
    <x v="5"/>
    <x v="39"/>
  </r>
  <r>
    <x v="0"/>
    <x v="25"/>
    <x v="42"/>
    <x v="15"/>
    <x v="4"/>
    <x v="0"/>
    <x v="0"/>
    <x v="1"/>
    <x v="1"/>
    <x v="5"/>
    <x v="40"/>
  </r>
  <r>
    <x v="0"/>
    <x v="26"/>
    <x v="43"/>
    <x v="16"/>
    <x v="4"/>
    <x v="0"/>
    <x v="0"/>
    <x v="1"/>
    <x v="2"/>
    <x v="5"/>
    <x v="41"/>
  </r>
  <r>
    <x v="0"/>
    <x v="26"/>
    <x v="44"/>
    <x v="13"/>
    <x v="4"/>
    <x v="0"/>
    <x v="0"/>
    <x v="1"/>
    <x v="2"/>
    <x v="5"/>
    <x v="42"/>
  </r>
  <r>
    <x v="0"/>
    <x v="26"/>
    <x v="45"/>
    <x v="13"/>
    <x v="4"/>
    <x v="0"/>
    <x v="0"/>
    <x v="1"/>
    <x v="1"/>
    <x v="5"/>
    <x v="43"/>
  </r>
  <r>
    <x v="0"/>
    <x v="27"/>
    <x v="46"/>
    <x v="17"/>
    <x v="7"/>
    <x v="0"/>
    <x v="0"/>
    <x v="1"/>
    <x v="2"/>
    <x v="5"/>
    <x v="44"/>
  </r>
  <r>
    <x v="0"/>
    <x v="28"/>
    <x v="47"/>
    <x v="23"/>
    <x v="4"/>
    <x v="0"/>
    <x v="0"/>
    <x v="1"/>
    <x v="1"/>
    <x v="5"/>
    <x v="45"/>
  </r>
  <r>
    <x v="0"/>
    <x v="28"/>
    <x v="48"/>
    <x v="1"/>
    <x v="6"/>
    <x v="0"/>
    <x v="0"/>
    <x v="0"/>
    <x v="0"/>
    <x v="5"/>
    <x v="46"/>
  </r>
  <r>
    <x v="0"/>
    <x v="29"/>
    <x v="49"/>
    <x v="18"/>
    <x v="8"/>
    <x v="0"/>
    <x v="0"/>
    <x v="1"/>
    <x v="2"/>
    <x v="5"/>
    <x v="47"/>
  </r>
  <r>
    <x v="0"/>
    <x v="30"/>
    <x v="50"/>
    <x v="0"/>
    <x v="0"/>
    <x v="0"/>
    <x v="0"/>
    <x v="0"/>
    <x v="0"/>
    <x v="6"/>
    <x v="48"/>
  </r>
  <r>
    <x v="0"/>
    <x v="31"/>
    <x v="51"/>
    <x v="19"/>
    <x v="9"/>
    <x v="0"/>
    <x v="0"/>
    <x v="0"/>
    <x v="0"/>
    <x v="6"/>
    <x v="49"/>
  </r>
  <r>
    <x v="0"/>
    <x v="31"/>
    <x v="52"/>
    <x v="1"/>
    <x v="11"/>
    <x v="0"/>
    <x v="0"/>
    <x v="0"/>
    <x v="0"/>
    <x v="6"/>
    <x v="50"/>
  </r>
  <r>
    <x v="0"/>
    <x v="32"/>
    <x v="53"/>
    <x v="2"/>
    <x v="2"/>
    <x v="0"/>
    <x v="0"/>
    <x v="0"/>
    <x v="0"/>
    <x v="6"/>
    <x v="51"/>
  </r>
  <r>
    <x v="0"/>
    <x v="32"/>
    <x v="54"/>
    <x v="3"/>
    <x v="3"/>
    <x v="0"/>
    <x v="0"/>
    <x v="0"/>
    <x v="0"/>
    <x v="6"/>
    <x v="52"/>
  </r>
  <r>
    <x v="0"/>
    <x v="33"/>
    <x v="55"/>
    <x v="7"/>
    <x v="4"/>
    <x v="0"/>
    <x v="0"/>
    <x v="1"/>
    <x v="2"/>
    <x v="6"/>
    <x v="53"/>
  </r>
  <r>
    <x v="0"/>
    <x v="33"/>
    <x v="56"/>
    <x v="22"/>
    <x v="4"/>
    <x v="0"/>
    <x v="0"/>
    <x v="1"/>
    <x v="1"/>
    <x v="6"/>
    <x v="54"/>
  </r>
  <r>
    <x v="0"/>
    <x v="33"/>
    <x v="57"/>
    <x v="4"/>
    <x v="4"/>
    <x v="0"/>
    <x v="0"/>
    <x v="1"/>
    <x v="1"/>
    <x v="6"/>
    <x v="55"/>
  </r>
  <r>
    <x v="0"/>
    <x v="33"/>
    <x v="58"/>
    <x v="5"/>
    <x v="4"/>
    <x v="0"/>
    <x v="0"/>
    <x v="1"/>
    <x v="2"/>
    <x v="6"/>
    <x v="56"/>
  </r>
  <r>
    <x v="1"/>
    <x v="34"/>
    <x v="59"/>
    <x v="24"/>
    <x v="13"/>
    <x v="0"/>
    <x v="1"/>
    <x v="2"/>
    <x v="3"/>
    <x v="0"/>
    <x v="57"/>
  </r>
  <r>
    <x v="1"/>
    <x v="35"/>
    <x v="60"/>
    <x v="24"/>
    <x v="13"/>
    <x v="0"/>
    <x v="1"/>
    <x v="2"/>
    <x v="3"/>
    <x v="2"/>
    <x v="58"/>
  </r>
  <r>
    <x v="1"/>
    <x v="36"/>
    <x v="61"/>
    <x v="24"/>
    <x v="13"/>
    <x v="0"/>
    <x v="1"/>
    <x v="2"/>
    <x v="3"/>
    <x v="3"/>
    <x v="59"/>
  </r>
  <r>
    <x v="1"/>
    <x v="19"/>
    <x v="62"/>
    <x v="25"/>
    <x v="14"/>
    <x v="0"/>
    <x v="2"/>
    <x v="3"/>
    <x v="4"/>
    <x v="3"/>
    <x v="60"/>
  </r>
  <r>
    <x v="1"/>
    <x v="23"/>
    <x v="63"/>
    <x v="26"/>
    <x v="15"/>
    <x v="1"/>
    <x v="3"/>
    <x v="4"/>
    <x v="4"/>
    <x v="4"/>
    <x v="61"/>
  </r>
  <r>
    <x v="1"/>
    <x v="37"/>
    <x v="64"/>
    <x v="26"/>
    <x v="16"/>
    <x v="1"/>
    <x v="3"/>
    <x v="4"/>
    <x v="4"/>
    <x v="5"/>
    <x v="62"/>
  </r>
  <r>
    <x v="1"/>
    <x v="37"/>
    <x v="65"/>
    <x v="27"/>
    <x v="17"/>
    <x v="0"/>
    <x v="4"/>
    <x v="5"/>
    <x v="4"/>
    <x v="5"/>
    <x v="63"/>
  </r>
  <r>
    <x v="1"/>
    <x v="38"/>
    <x v="66"/>
    <x v="28"/>
    <x v="18"/>
    <x v="0"/>
    <x v="5"/>
    <x v="6"/>
    <x v="5"/>
    <x v="6"/>
    <x v="64"/>
  </r>
  <r>
    <x v="1"/>
    <x v="39"/>
    <x v="67"/>
    <x v="25"/>
    <x v="14"/>
    <x v="0"/>
    <x v="2"/>
    <x v="3"/>
    <x v="4"/>
    <x v="6"/>
    <x v="65"/>
  </r>
  <r>
    <x v="1"/>
    <x v="39"/>
    <x v="68"/>
    <x v="25"/>
    <x v="14"/>
    <x v="0"/>
    <x v="2"/>
    <x v="3"/>
    <x v="4"/>
    <x v="6"/>
    <x v="66"/>
  </r>
  <r>
    <x v="1"/>
    <x v="39"/>
    <x v="64"/>
    <x v="26"/>
    <x v="16"/>
    <x v="1"/>
    <x v="3"/>
    <x v="4"/>
    <x v="4"/>
    <x v="6"/>
    <x v="62"/>
  </r>
  <r>
    <x v="2"/>
    <x v="40"/>
    <x v="69"/>
    <x v="29"/>
    <x v="19"/>
    <x v="1"/>
    <x v="4"/>
    <x v="7"/>
    <x v="4"/>
    <x v="0"/>
    <x v="14"/>
  </r>
  <r>
    <x v="2"/>
    <x v="41"/>
    <x v="70"/>
    <x v="30"/>
    <x v="20"/>
    <x v="1"/>
    <x v="4"/>
    <x v="8"/>
    <x v="4"/>
    <x v="1"/>
    <x v="67"/>
  </r>
  <r>
    <x v="2"/>
    <x v="42"/>
    <x v="69"/>
    <x v="29"/>
    <x v="19"/>
    <x v="1"/>
    <x v="4"/>
    <x v="7"/>
    <x v="4"/>
    <x v="2"/>
    <x v="14"/>
  </r>
  <r>
    <x v="2"/>
    <x v="43"/>
    <x v="71"/>
    <x v="30"/>
    <x v="20"/>
    <x v="1"/>
    <x v="4"/>
    <x v="8"/>
    <x v="4"/>
    <x v="2"/>
    <x v="68"/>
  </r>
  <r>
    <x v="2"/>
    <x v="44"/>
    <x v="69"/>
    <x v="31"/>
    <x v="21"/>
    <x v="1"/>
    <x v="4"/>
    <x v="7"/>
    <x v="4"/>
    <x v="2"/>
    <x v="14"/>
  </r>
  <r>
    <x v="2"/>
    <x v="45"/>
    <x v="72"/>
    <x v="32"/>
    <x v="22"/>
    <x v="1"/>
    <x v="3"/>
    <x v="9"/>
    <x v="5"/>
    <x v="5"/>
    <x v="69"/>
  </r>
  <r>
    <x v="2"/>
    <x v="37"/>
    <x v="73"/>
    <x v="32"/>
    <x v="22"/>
    <x v="1"/>
    <x v="3"/>
    <x v="9"/>
    <x v="5"/>
    <x v="5"/>
    <x v="70"/>
  </r>
  <r>
    <x v="2"/>
    <x v="37"/>
    <x v="74"/>
    <x v="32"/>
    <x v="22"/>
    <x v="1"/>
    <x v="3"/>
    <x v="9"/>
    <x v="5"/>
    <x v="5"/>
    <x v="50"/>
  </r>
  <r>
    <x v="2"/>
    <x v="46"/>
    <x v="75"/>
    <x v="32"/>
    <x v="22"/>
    <x v="1"/>
    <x v="3"/>
    <x v="9"/>
    <x v="5"/>
    <x v="5"/>
    <x v="71"/>
  </r>
  <r>
    <x v="2"/>
    <x v="46"/>
    <x v="73"/>
    <x v="32"/>
    <x v="22"/>
    <x v="1"/>
    <x v="3"/>
    <x v="9"/>
    <x v="5"/>
    <x v="5"/>
    <x v="70"/>
  </r>
  <r>
    <x v="2"/>
    <x v="47"/>
    <x v="76"/>
    <x v="32"/>
    <x v="22"/>
    <x v="1"/>
    <x v="3"/>
    <x v="9"/>
    <x v="5"/>
    <x v="5"/>
    <x v="62"/>
  </r>
  <r>
    <x v="2"/>
    <x v="48"/>
    <x v="77"/>
    <x v="32"/>
    <x v="22"/>
    <x v="1"/>
    <x v="3"/>
    <x v="9"/>
    <x v="5"/>
    <x v="5"/>
    <x v="72"/>
  </r>
  <r>
    <x v="2"/>
    <x v="49"/>
    <x v="76"/>
    <x v="32"/>
    <x v="22"/>
    <x v="1"/>
    <x v="3"/>
    <x v="9"/>
    <x v="5"/>
    <x v="5"/>
    <x v="62"/>
  </r>
  <r>
    <x v="2"/>
    <x v="50"/>
    <x v="77"/>
    <x v="32"/>
    <x v="22"/>
    <x v="1"/>
    <x v="3"/>
    <x v="9"/>
    <x v="5"/>
    <x v="5"/>
    <x v="72"/>
  </r>
  <r>
    <x v="2"/>
    <x v="51"/>
    <x v="73"/>
    <x v="32"/>
    <x v="22"/>
    <x v="1"/>
    <x v="3"/>
    <x v="9"/>
    <x v="5"/>
    <x v="5"/>
    <x v="70"/>
  </r>
  <r>
    <x v="2"/>
    <x v="51"/>
    <x v="78"/>
    <x v="32"/>
    <x v="22"/>
    <x v="1"/>
    <x v="3"/>
    <x v="9"/>
    <x v="5"/>
    <x v="5"/>
    <x v="19"/>
  </r>
  <r>
    <x v="2"/>
    <x v="52"/>
    <x v="76"/>
    <x v="32"/>
    <x v="22"/>
    <x v="1"/>
    <x v="3"/>
    <x v="9"/>
    <x v="5"/>
    <x v="5"/>
    <x v="62"/>
  </r>
  <r>
    <x v="2"/>
    <x v="53"/>
    <x v="77"/>
    <x v="32"/>
    <x v="22"/>
    <x v="1"/>
    <x v="3"/>
    <x v="9"/>
    <x v="5"/>
    <x v="5"/>
    <x v="72"/>
  </r>
  <r>
    <x v="2"/>
    <x v="54"/>
    <x v="76"/>
    <x v="32"/>
    <x v="22"/>
    <x v="1"/>
    <x v="3"/>
    <x v="9"/>
    <x v="5"/>
    <x v="5"/>
    <x v="62"/>
  </r>
  <r>
    <x v="2"/>
    <x v="54"/>
    <x v="70"/>
    <x v="30"/>
    <x v="20"/>
    <x v="1"/>
    <x v="4"/>
    <x v="8"/>
    <x v="4"/>
    <x v="5"/>
    <x v="67"/>
  </r>
  <r>
    <x v="2"/>
    <x v="26"/>
    <x v="77"/>
    <x v="32"/>
    <x v="22"/>
    <x v="1"/>
    <x v="3"/>
    <x v="9"/>
    <x v="5"/>
    <x v="5"/>
    <x v="72"/>
  </r>
  <r>
    <x v="2"/>
    <x v="55"/>
    <x v="77"/>
    <x v="32"/>
    <x v="22"/>
    <x v="1"/>
    <x v="3"/>
    <x v="9"/>
    <x v="5"/>
    <x v="5"/>
    <x v="72"/>
  </r>
  <r>
    <x v="2"/>
    <x v="27"/>
    <x v="77"/>
    <x v="32"/>
    <x v="22"/>
    <x v="1"/>
    <x v="3"/>
    <x v="9"/>
    <x v="5"/>
    <x v="5"/>
    <x v="72"/>
  </r>
  <r>
    <x v="2"/>
    <x v="27"/>
    <x v="73"/>
    <x v="32"/>
    <x v="22"/>
    <x v="1"/>
    <x v="3"/>
    <x v="9"/>
    <x v="5"/>
    <x v="5"/>
    <x v="70"/>
  </r>
  <r>
    <x v="2"/>
    <x v="56"/>
    <x v="76"/>
    <x v="32"/>
    <x v="22"/>
    <x v="1"/>
    <x v="3"/>
    <x v="9"/>
    <x v="5"/>
    <x v="5"/>
    <x v="62"/>
  </r>
  <r>
    <x v="2"/>
    <x v="57"/>
    <x v="70"/>
    <x v="30"/>
    <x v="20"/>
    <x v="1"/>
    <x v="4"/>
    <x v="8"/>
    <x v="4"/>
    <x v="5"/>
    <x v="67"/>
  </r>
  <r>
    <x v="2"/>
    <x v="28"/>
    <x v="77"/>
    <x v="32"/>
    <x v="22"/>
    <x v="1"/>
    <x v="3"/>
    <x v="9"/>
    <x v="5"/>
    <x v="5"/>
    <x v="72"/>
  </r>
  <r>
    <x v="2"/>
    <x v="29"/>
    <x v="77"/>
    <x v="32"/>
    <x v="22"/>
    <x v="1"/>
    <x v="3"/>
    <x v="9"/>
    <x v="5"/>
    <x v="5"/>
    <x v="72"/>
  </r>
  <r>
    <x v="2"/>
    <x v="29"/>
    <x v="73"/>
    <x v="32"/>
    <x v="22"/>
    <x v="1"/>
    <x v="3"/>
    <x v="9"/>
    <x v="5"/>
    <x v="5"/>
    <x v="70"/>
  </r>
  <r>
    <x v="2"/>
    <x v="58"/>
    <x v="76"/>
    <x v="32"/>
    <x v="22"/>
    <x v="1"/>
    <x v="3"/>
    <x v="9"/>
    <x v="5"/>
    <x v="5"/>
    <x v="62"/>
  </r>
  <r>
    <x v="2"/>
    <x v="59"/>
    <x v="73"/>
    <x v="32"/>
    <x v="22"/>
    <x v="1"/>
    <x v="3"/>
    <x v="9"/>
    <x v="5"/>
    <x v="6"/>
    <x v="70"/>
  </r>
  <r>
    <x v="2"/>
    <x v="60"/>
    <x v="79"/>
    <x v="32"/>
    <x v="22"/>
    <x v="1"/>
    <x v="3"/>
    <x v="9"/>
    <x v="5"/>
    <x v="6"/>
    <x v="67"/>
  </r>
  <r>
    <x v="2"/>
    <x v="61"/>
    <x v="77"/>
    <x v="32"/>
    <x v="22"/>
    <x v="1"/>
    <x v="3"/>
    <x v="9"/>
    <x v="5"/>
    <x v="6"/>
    <x v="72"/>
  </r>
  <r>
    <x v="2"/>
    <x v="62"/>
    <x v="77"/>
    <x v="32"/>
    <x v="22"/>
    <x v="1"/>
    <x v="3"/>
    <x v="9"/>
    <x v="5"/>
    <x v="6"/>
    <x v="72"/>
  </r>
  <r>
    <x v="2"/>
    <x v="63"/>
    <x v="73"/>
    <x v="32"/>
    <x v="22"/>
    <x v="1"/>
    <x v="3"/>
    <x v="9"/>
    <x v="5"/>
    <x v="6"/>
    <x v="70"/>
  </r>
  <r>
    <x v="2"/>
    <x v="64"/>
    <x v="79"/>
    <x v="32"/>
    <x v="22"/>
    <x v="1"/>
    <x v="3"/>
    <x v="9"/>
    <x v="5"/>
    <x v="6"/>
    <x v="67"/>
  </r>
  <r>
    <x v="2"/>
    <x v="31"/>
    <x v="79"/>
    <x v="32"/>
    <x v="22"/>
    <x v="1"/>
    <x v="3"/>
    <x v="9"/>
    <x v="5"/>
    <x v="6"/>
    <x v="67"/>
  </r>
  <r>
    <x v="2"/>
    <x v="31"/>
    <x v="73"/>
    <x v="32"/>
    <x v="22"/>
    <x v="1"/>
    <x v="3"/>
    <x v="9"/>
    <x v="5"/>
    <x v="6"/>
    <x v="70"/>
  </r>
  <r>
    <x v="2"/>
    <x v="65"/>
    <x v="76"/>
    <x v="32"/>
    <x v="22"/>
    <x v="1"/>
    <x v="3"/>
    <x v="9"/>
    <x v="5"/>
    <x v="6"/>
    <x v="62"/>
  </r>
  <r>
    <x v="2"/>
    <x v="39"/>
    <x v="77"/>
    <x v="32"/>
    <x v="22"/>
    <x v="1"/>
    <x v="3"/>
    <x v="9"/>
    <x v="5"/>
    <x v="6"/>
    <x v="72"/>
  </r>
  <r>
    <x v="2"/>
    <x v="66"/>
    <x v="76"/>
    <x v="32"/>
    <x v="22"/>
    <x v="1"/>
    <x v="3"/>
    <x v="9"/>
    <x v="5"/>
    <x v="6"/>
    <x v="62"/>
  </r>
  <r>
    <x v="2"/>
    <x v="67"/>
    <x v="80"/>
    <x v="32"/>
    <x v="22"/>
    <x v="1"/>
    <x v="3"/>
    <x v="9"/>
    <x v="5"/>
    <x v="6"/>
    <x v="73"/>
  </r>
  <r>
    <x v="2"/>
    <x v="68"/>
    <x v="76"/>
    <x v="32"/>
    <x v="22"/>
    <x v="1"/>
    <x v="3"/>
    <x v="9"/>
    <x v="5"/>
    <x v="6"/>
    <x v="62"/>
  </r>
  <r>
    <x v="2"/>
    <x v="69"/>
    <x v="77"/>
    <x v="32"/>
    <x v="22"/>
    <x v="1"/>
    <x v="3"/>
    <x v="9"/>
    <x v="5"/>
    <x v="6"/>
    <x v="72"/>
  </r>
  <r>
    <x v="2"/>
    <x v="70"/>
    <x v="81"/>
    <x v="32"/>
    <x v="22"/>
    <x v="1"/>
    <x v="3"/>
    <x v="9"/>
    <x v="5"/>
    <x v="6"/>
    <x v="74"/>
  </r>
  <r>
    <x v="2"/>
    <x v="71"/>
    <x v="82"/>
    <x v="32"/>
    <x v="22"/>
    <x v="1"/>
    <x v="3"/>
    <x v="9"/>
    <x v="5"/>
    <x v="6"/>
    <x v="75"/>
  </r>
  <r>
    <x v="2"/>
    <x v="72"/>
    <x v="79"/>
    <x v="32"/>
    <x v="22"/>
    <x v="1"/>
    <x v="3"/>
    <x v="9"/>
    <x v="5"/>
    <x v="6"/>
    <x v="67"/>
  </r>
  <r>
    <x v="2"/>
    <x v="73"/>
    <x v="73"/>
    <x v="32"/>
    <x v="22"/>
    <x v="1"/>
    <x v="3"/>
    <x v="9"/>
    <x v="5"/>
    <x v="6"/>
    <x v="70"/>
  </r>
  <r>
    <x v="2"/>
    <x v="74"/>
    <x v="77"/>
    <x v="32"/>
    <x v="22"/>
    <x v="1"/>
    <x v="3"/>
    <x v="9"/>
    <x v="5"/>
    <x v="6"/>
    <x v="72"/>
  </r>
  <r>
    <x v="0"/>
    <x v="75"/>
    <x v="83"/>
    <x v="20"/>
    <x v="23"/>
    <x v="0"/>
    <x v="0"/>
    <x v="0"/>
    <x v="0"/>
    <x v="7"/>
    <x v="27"/>
  </r>
  <r>
    <x v="0"/>
    <x v="76"/>
    <x v="84"/>
    <x v="9"/>
    <x v="4"/>
    <x v="0"/>
    <x v="0"/>
    <x v="1"/>
    <x v="2"/>
    <x v="7"/>
    <x v="76"/>
  </r>
  <r>
    <x v="0"/>
    <x v="76"/>
    <x v="85"/>
    <x v="33"/>
    <x v="4"/>
    <x v="0"/>
    <x v="0"/>
    <x v="1"/>
    <x v="1"/>
    <x v="7"/>
    <x v="77"/>
  </r>
  <r>
    <x v="0"/>
    <x v="77"/>
    <x v="86"/>
    <x v="8"/>
    <x v="4"/>
    <x v="0"/>
    <x v="0"/>
    <x v="1"/>
    <x v="2"/>
    <x v="7"/>
    <x v="78"/>
  </r>
  <r>
    <x v="0"/>
    <x v="77"/>
    <x v="87"/>
    <x v="12"/>
    <x v="4"/>
    <x v="0"/>
    <x v="0"/>
    <x v="1"/>
    <x v="1"/>
    <x v="7"/>
    <x v="79"/>
  </r>
  <r>
    <x v="1"/>
    <x v="78"/>
    <x v="64"/>
    <x v="26"/>
    <x v="16"/>
    <x v="1"/>
    <x v="3"/>
    <x v="4"/>
    <x v="4"/>
    <x v="7"/>
    <x v="62"/>
  </r>
  <r>
    <x v="1"/>
    <x v="79"/>
    <x v="88"/>
    <x v="34"/>
    <x v="24"/>
    <x v="1"/>
    <x v="4"/>
    <x v="7"/>
    <x v="4"/>
    <x v="7"/>
    <x v="14"/>
  </r>
  <r>
    <x v="1"/>
    <x v="77"/>
    <x v="89"/>
    <x v="34"/>
    <x v="24"/>
    <x v="1"/>
    <x v="4"/>
    <x v="7"/>
    <x v="4"/>
    <x v="7"/>
    <x v="80"/>
  </r>
  <r>
    <x v="1"/>
    <x v="78"/>
    <x v="89"/>
    <x v="34"/>
    <x v="24"/>
    <x v="1"/>
    <x v="4"/>
    <x v="7"/>
    <x v="4"/>
    <x v="7"/>
    <x v="80"/>
  </r>
  <r>
    <x v="2"/>
    <x v="80"/>
    <x v="90"/>
    <x v="32"/>
    <x v="22"/>
    <x v="1"/>
    <x v="3"/>
    <x v="9"/>
    <x v="5"/>
    <x v="7"/>
    <x v="81"/>
  </r>
  <r>
    <x v="2"/>
    <x v="81"/>
    <x v="91"/>
    <x v="32"/>
    <x v="22"/>
    <x v="1"/>
    <x v="3"/>
    <x v="9"/>
    <x v="5"/>
    <x v="7"/>
    <x v="82"/>
  </r>
  <r>
    <x v="2"/>
    <x v="81"/>
    <x v="76"/>
    <x v="32"/>
    <x v="22"/>
    <x v="1"/>
    <x v="3"/>
    <x v="9"/>
    <x v="5"/>
    <x v="7"/>
    <x v="62"/>
  </r>
  <r>
    <x v="2"/>
    <x v="82"/>
    <x v="76"/>
    <x v="32"/>
    <x v="22"/>
    <x v="1"/>
    <x v="3"/>
    <x v="9"/>
    <x v="5"/>
    <x v="7"/>
    <x v="62"/>
  </r>
  <r>
    <x v="2"/>
    <x v="83"/>
    <x v="76"/>
    <x v="32"/>
    <x v="22"/>
    <x v="1"/>
    <x v="3"/>
    <x v="9"/>
    <x v="5"/>
    <x v="7"/>
    <x v="62"/>
  </r>
  <r>
    <x v="2"/>
    <x v="75"/>
    <x v="76"/>
    <x v="32"/>
    <x v="22"/>
    <x v="1"/>
    <x v="3"/>
    <x v="9"/>
    <x v="5"/>
    <x v="7"/>
    <x v="62"/>
  </r>
  <r>
    <x v="2"/>
    <x v="84"/>
    <x v="73"/>
    <x v="32"/>
    <x v="22"/>
    <x v="1"/>
    <x v="3"/>
    <x v="9"/>
    <x v="5"/>
    <x v="7"/>
    <x v="70"/>
  </r>
  <r>
    <x v="2"/>
    <x v="84"/>
    <x v="77"/>
    <x v="32"/>
    <x v="22"/>
    <x v="1"/>
    <x v="3"/>
    <x v="9"/>
    <x v="5"/>
    <x v="7"/>
    <x v="72"/>
  </r>
  <r>
    <x v="2"/>
    <x v="85"/>
    <x v="76"/>
    <x v="32"/>
    <x v="22"/>
    <x v="1"/>
    <x v="3"/>
    <x v="9"/>
    <x v="5"/>
    <x v="7"/>
    <x v="62"/>
  </r>
  <r>
    <x v="2"/>
    <x v="79"/>
    <x v="77"/>
    <x v="32"/>
    <x v="22"/>
    <x v="1"/>
    <x v="3"/>
    <x v="9"/>
    <x v="5"/>
    <x v="7"/>
    <x v="72"/>
  </r>
  <r>
    <x v="2"/>
    <x v="86"/>
    <x v="77"/>
    <x v="32"/>
    <x v="22"/>
    <x v="1"/>
    <x v="3"/>
    <x v="9"/>
    <x v="5"/>
    <x v="7"/>
    <x v="72"/>
  </r>
  <r>
    <x v="2"/>
    <x v="87"/>
    <x v="76"/>
    <x v="32"/>
    <x v="22"/>
    <x v="1"/>
    <x v="3"/>
    <x v="9"/>
    <x v="5"/>
    <x v="7"/>
    <x v="62"/>
  </r>
  <r>
    <x v="2"/>
    <x v="88"/>
    <x v="79"/>
    <x v="32"/>
    <x v="22"/>
    <x v="1"/>
    <x v="3"/>
    <x v="9"/>
    <x v="5"/>
    <x v="7"/>
    <x v="67"/>
  </r>
  <r>
    <x v="2"/>
    <x v="88"/>
    <x v="91"/>
    <x v="32"/>
    <x v="22"/>
    <x v="1"/>
    <x v="3"/>
    <x v="9"/>
    <x v="5"/>
    <x v="7"/>
    <x v="82"/>
  </r>
  <r>
    <x v="2"/>
    <x v="89"/>
    <x v="77"/>
    <x v="32"/>
    <x v="22"/>
    <x v="1"/>
    <x v="3"/>
    <x v="9"/>
    <x v="5"/>
    <x v="7"/>
    <x v="72"/>
  </r>
  <r>
    <x v="2"/>
    <x v="90"/>
    <x v="73"/>
    <x v="32"/>
    <x v="22"/>
    <x v="1"/>
    <x v="3"/>
    <x v="9"/>
    <x v="5"/>
    <x v="7"/>
    <x v="70"/>
  </r>
  <r>
    <x v="2"/>
    <x v="90"/>
    <x v="77"/>
    <x v="32"/>
    <x v="22"/>
    <x v="1"/>
    <x v="3"/>
    <x v="9"/>
    <x v="5"/>
    <x v="7"/>
    <x v="72"/>
  </r>
  <r>
    <x v="2"/>
    <x v="91"/>
    <x v="77"/>
    <x v="32"/>
    <x v="22"/>
    <x v="1"/>
    <x v="3"/>
    <x v="9"/>
    <x v="5"/>
    <x v="7"/>
    <x v="72"/>
  </r>
  <r>
    <x v="2"/>
    <x v="91"/>
    <x v="73"/>
    <x v="32"/>
    <x v="22"/>
    <x v="1"/>
    <x v="3"/>
    <x v="9"/>
    <x v="5"/>
    <x v="7"/>
    <x v="70"/>
  </r>
  <r>
    <x v="2"/>
    <x v="92"/>
    <x v="73"/>
    <x v="32"/>
    <x v="22"/>
    <x v="1"/>
    <x v="3"/>
    <x v="9"/>
    <x v="5"/>
    <x v="7"/>
    <x v="70"/>
  </r>
  <r>
    <x v="2"/>
    <x v="92"/>
    <x v="77"/>
    <x v="32"/>
    <x v="22"/>
    <x v="1"/>
    <x v="3"/>
    <x v="9"/>
    <x v="5"/>
    <x v="7"/>
    <x v="72"/>
  </r>
  <r>
    <x v="2"/>
    <x v="77"/>
    <x v="76"/>
    <x v="32"/>
    <x v="22"/>
    <x v="1"/>
    <x v="3"/>
    <x v="9"/>
    <x v="5"/>
    <x v="7"/>
    <x v="62"/>
  </r>
  <r>
    <x v="2"/>
    <x v="77"/>
    <x v="70"/>
    <x v="30"/>
    <x v="22"/>
    <x v="1"/>
    <x v="4"/>
    <x v="8"/>
    <x v="4"/>
    <x v="7"/>
    <x v="67"/>
  </r>
  <r>
    <x v="2"/>
    <x v="93"/>
    <x v="76"/>
    <x v="32"/>
    <x v="22"/>
    <x v="1"/>
    <x v="3"/>
    <x v="9"/>
    <x v="5"/>
    <x v="7"/>
    <x v="62"/>
  </r>
  <r>
    <x v="2"/>
    <x v="94"/>
    <x v="77"/>
    <x v="32"/>
    <x v="22"/>
    <x v="1"/>
    <x v="3"/>
    <x v="9"/>
    <x v="5"/>
    <x v="7"/>
    <x v="72"/>
  </r>
  <r>
    <x v="2"/>
    <x v="95"/>
    <x v="92"/>
    <x v="32"/>
    <x v="22"/>
    <x v="1"/>
    <x v="3"/>
    <x v="9"/>
    <x v="5"/>
    <x v="7"/>
    <x v="83"/>
  </r>
  <r>
    <x v="2"/>
    <x v="96"/>
    <x v="92"/>
    <x v="32"/>
    <x v="22"/>
    <x v="1"/>
    <x v="3"/>
    <x v="9"/>
    <x v="5"/>
    <x v="7"/>
    <x v="83"/>
  </r>
  <r>
    <x v="2"/>
    <x v="96"/>
    <x v="73"/>
    <x v="32"/>
    <x v="22"/>
    <x v="1"/>
    <x v="3"/>
    <x v="9"/>
    <x v="5"/>
    <x v="7"/>
    <x v="70"/>
  </r>
  <r>
    <x v="2"/>
    <x v="97"/>
    <x v="75"/>
    <x v="32"/>
    <x v="22"/>
    <x v="1"/>
    <x v="3"/>
    <x v="9"/>
    <x v="5"/>
    <x v="7"/>
    <x v="71"/>
  </r>
  <r>
    <x v="2"/>
    <x v="78"/>
    <x v="91"/>
    <x v="32"/>
    <x v="22"/>
    <x v="1"/>
    <x v="3"/>
    <x v="9"/>
    <x v="5"/>
    <x v="7"/>
    <x v="82"/>
  </r>
  <r>
    <x v="2"/>
    <x v="78"/>
    <x v="93"/>
    <x v="32"/>
    <x v="22"/>
    <x v="1"/>
    <x v="3"/>
    <x v="9"/>
    <x v="5"/>
    <x v="7"/>
    <x v="3"/>
  </r>
  <r>
    <x v="2"/>
    <x v="98"/>
    <x v="73"/>
    <x v="32"/>
    <x v="22"/>
    <x v="1"/>
    <x v="3"/>
    <x v="9"/>
    <x v="5"/>
    <x v="7"/>
    <x v="70"/>
  </r>
  <r>
    <x v="2"/>
    <x v="98"/>
    <x v="80"/>
    <x v="32"/>
    <x v="22"/>
    <x v="1"/>
    <x v="3"/>
    <x v="9"/>
    <x v="5"/>
    <x v="7"/>
    <x v="73"/>
  </r>
  <r>
    <x v="2"/>
    <x v="99"/>
    <x v="94"/>
    <x v="32"/>
    <x v="22"/>
    <x v="1"/>
    <x v="3"/>
    <x v="9"/>
    <x v="5"/>
    <x v="7"/>
    <x v="84"/>
  </r>
  <r>
    <x v="2"/>
    <x v="99"/>
    <x v="73"/>
    <x v="32"/>
    <x v="22"/>
    <x v="1"/>
    <x v="3"/>
    <x v="9"/>
    <x v="5"/>
    <x v="7"/>
    <x v="70"/>
  </r>
  <r>
    <x v="2"/>
    <x v="100"/>
    <x v="76"/>
    <x v="32"/>
    <x v="22"/>
    <x v="1"/>
    <x v="3"/>
    <x v="9"/>
    <x v="5"/>
    <x v="7"/>
    <x v="62"/>
  </r>
  <r>
    <x v="2"/>
    <x v="101"/>
    <x v="77"/>
    <x v="32"/>
    <x v="22"/>
    <x v="1"/>
    <x v="3"/>
    <x v="9"/>
    <x v="5"/>
    <x v="7"/>
    <x v="72"/>
  </r>
  <r>
    <x v="0"/>
    <x v="102"/>
    <x v="95"/>
    <x v="2"/>
    <x v="6"/>
    <x v="0"/>
    <x v="0"/>
    <x v="0"/>
    <x v="6"/>
    <x v="8"/>
    <x v="85"/>
  </r>
  <r>
    <x v="0"/>
    <x v="102"/>
    <x v="96"/>
    <x v="20"/>
    <x v="6"/>
    <x v="0"/>
    <x v="0"/>
    <x v="0"/>
    <x v="6"/>
    <x v="8"/>
    <x v="86"/>
  </r>
  <r>
    <x v="0"/>
    <x v="103"/>
    <x v="97"/>
    <x v="3"/>
    <x v="6"/>
    <x v="0"/>
    <x v="0"/>
    <x v="0"/>
    <x v="0"/>
    <x v="8"/>
    <x v="80"/>
  </r>
  <r>
    <x v="0"/>
    <x v="104"/>
    <x v="98"/>
    <x v="16"/>
    <x v="4"/>
    <x v="0"/>
    <x v="0"/>
    <x v="1"/>
    <x v="2"/>
    <x v="8"/>
    <x v="26"/>
  </r>
  <r>
    <x v="0"/>
    <x v="104"/>
    <x v="99"/>
    <x v="13"/>
    <x v="4"/>
    <x v="0"/>
    <x v="0"/>
    <x v="1"/>
    <x v="2"/>
    <x v="8"/>
    <x v="87"/>
  </r>
  <r>
    <x v="0"/>
    <x v="104"/>
    <x v="100"/>
    <x v="13"/>
    <x v="4"/>
    <x v="0"/>
    <x v="0"/>
    <x v="1"/>
    <x v="1"/>
    <x v="8"/>
    <x v="88"/>
  </r>
  <r>
    <x v="0"/>
    <x v="104"/>
    <x v="101"/>
    <x v="14"/>
    <x v="4"/>
    <x v="0"/>
    <x v="0"/>
    <x v="1"/>
    <x v="2"/>
    <x v="8"/>
    <x v="89"/>
  </r>
  <r>
    <x v="0"/>
    <x v="104"/>
    <x v="102"/>
    <x v="15"/>
    <x v="4"/>
    <x v="0"/>
    <x v="0"/>
    <x v="1"/>
    <x v="1"/>
    <x v="8"/>
    <x v="90"/>
  </r>
  <r>
    <x v="0"/>
    <x v="105"/>
    <x v="103"/>
    <x v="17"/>
    <x v="7"/>
    <x v="0"/>
    <x v="0"/>
    <x v="1"/>
    <x v="2"/>
    <x v="8"/>
    <x v="91"/>
  </r>
  <r>
    <x v="0"/>
    <x v="106"/>
    <x v="104"/>
    <x v="18"/>
    <x v="8"/>
    <x v="0"/>
    <x v="0"/>
    <x v="1"/>
    <x v="2"/>
    <x v="8"/>
    <x v="92"/>
  </r>
  <r>
    <x v="1"/>
    <x v="107"/>
    <x v="105"/>
    <x v="34"/>
    <x v="24"/>
    <x v="1"/>
    <x v="4"/>
    <x v="7"/>
    <x v="4"/>
    <x v="8"/>
    <x v="93"/>
  </r>
  <r>
    <x v="1"/>
    <x v="107"/>
    <x v="89"/>
    <x v="34"/>
    <x v="24"/>
    <x v="1"/>
    <x v="4"/>
    <x v="7"/>
    <x v="4"/>
    <x v="8"/>
    <x v="80"/>
  </r>
  <r>
    <x v="1"/>
    <x v="107"/>
    <x v="89"/>
    <x v="34"/>
    <x v="24"/>
    <x v="1"/>
    <x v="4"/>
    <x v="7"/>
    <x v="4"/>
    <x v="8"/>
    <x v="80"/>
  </r>
  <r>
    <x v="1"/>
    <x v="108"/>
    <x v="70"/>
    <x v="26"/>
    <x v="16"/>
    <x v="1"/>
    <x v="3"/>
    <x v="4"/>
    <x v="4"/>
    <x v="8"/>
    <x v="67"/>
  </r>
  <r>
    <x v="1"/>
    <x v="109"/>
    <x v="105"/>
    <x v="34"/>
    <x v="24"/>
    <x v="1"/>
    <x v="4"/>
    <x v="7"/>
    <x v="4"/>
    <x v="8"/>
    <x v="93"/>
  </r>
  <r>
    <x v="1"/>
    <x v="109"/>
    <x v="105"/>
    <x v="34"/>
    <x v="24"/>
    <x v="1"/>
    <x v="4"/>
    <x v="7"/>
    <x v="4"/>
    <x v="8"/>
    <x v="93"/>
  </r>
  <r>
    <x v="1"/>
    <x v="109"/>
    <x v="105"/>
    <x v="34"/>
    <x v="24"/>
    <x v="1"/>
    <x v="4"/>
    <x v="7"/>
    <x v="4"/>
    <x v="8"/>
    <x v="93"/>
  </r>
  <r>
    <x v="1"/>
    <x v="110"/>
    <x v="89"/>
    <x v="34"/>
    <x v="24"/>
    <x v="1"/>
    <x v="4"/>
    <x v="7"/>
    <x v="4"/>
    <x v="8"/>
    <x v="80"/>
  </r>
  <r>
    <x v="1"/>
    <x v="111"/>
    <x v="105"/>
    <x v="34"/>
    <x v="24"/>
    <x v="1"/>
    <x v="4"/>
    <x v="7"/>
    <x v="4"/>
    <x v="8"/>
    <x v="93"/>
  </r>
  <r>
    <x v="1"/>
    <x v="112"/>
    <x v="63"/>
    <x v="26"/>
    <x v="16"/>
    <x v="1"/>
    <x v="3"/>
    <x v="4"/>
    <x v="4"/>
    <x v="8"/>
    <x v="61"/>
  </r>
  <r>
    <x v="1"/>
    <x v="113"/>
    <x v="106"/>
    <x v="34"/>
    <x v="24"/>
    <x v="1"/>
    <x v="4"/>
    <x v="7"/>
    <x v="4"/>
    <x v="8"/>
    <x v="80"/>
  </r>
  <r>
    <x v="1"/>
    <x v="113"/>
    <x v="89"/>
    <x v="34"/>
    <x v="24"/>
    <x v="1"/>
    <x v="4"/>
    <x v="7"/>
    <x v="4"/>
    <x v="8"/>
    <x v="80"/>
  </r>
  <r>
    <x v="1"/>
    <x v="113"/>
    <x v="107"/>
    <x v="35"/>
    <x v="8"/>
    <x v="0"/>
    <x v="5"/>
    <x v="6"/>
    <x v="5"/>
    <x v="8"/>
    <x v="94"/>
  </r>
  <r>
    <x v="1"/>
    <x v="106"/>
    <x v="105"/>
    <x v="34"/>
    <x v="24"/>
    <x v="1"/>
    <x v="4"/>
    <x v="7"/>
    <x v="4"/>
    <x v="8"/>
    <x v="93"/>
  </r>
  <r>
    <x v="1"/>
    <x v="114"/>
    <x v="70"/>
    <x v="26"/>
    <x v="16"/>
    <x v="1"/>
    <x v="3"/>
    <x v="4"/>
    <x v="4"/>
    <x v="8"/>
    <x v="67"/>
  </r>
  <r>
    <x v="2"/>
    <x v="115"/>
    <x v="80"/>
    <x v="32"/>
    <x v="22"/>
    <x v="1"/>
    <x v="3"/>
    <x v="9"/>
    <x v="5"/>
    <x v="8"/>
    <x v="73"/>
  </r>
  <r>
    <x v="2"/>
    <x v="115"/>
    <x v="73"/>
    <x v="32"/>
    <x v="22"/>
    <x v="1"/>
    <x v="3"/>
    <x v="9"/>
    <x v="5"/>
    <x v="8"/>
    <x v="70"/>
  </r>
  <r>
    <x v="2"/>
    <x v="116"/>
    <x v="80"/>
    <x v="32"/>
    <x v="22"/>
    <x v="1"/>
    <x v="3"/>
    <x v="9"/>
    <x v="5"/>
    <x v="8"/>
    <x v="73"/>
  </r>
  <r>
    <x v="2"/>
    <x v="102"/>
    <x v="92"/>
    <x v="32"/>
    <x v="22"/>
    <x v="1"/>
    <x v="3"/>
    <x v="9"/>
    <x v="5"/>
    <x v="8"/>
    <x v="83"/>
  </r>
  <r>
    <x v="2"/>
    <x v="103"/>
    <x v="76"/>
    <x v="32"/>
    <x v="22"/>
    <x v="1"/>
    <x v="3"/>
    <x v="9"/>
    <x v="5"/>
    <x v="8"/>
    <x v="62"/>
  </r>
  <r>
    <x v="2"/>
    <x v="103"/>
    <x v="73"/>
    <x v="32"/>
    <x v="22"/>
    <x v="1"/>
    <x v="3"/>
    <x v="9"/>
    <x v="5"/>
    <x v="8"/>
    <x v="70"/>
  </r>
  <r>
    <x v="2"/>
    <x v="117"/>
    <x v="76"/>
    <x v="32"/>
    <x v="22"/>
    <x v="1"/>
    <x v="3"/>
    <x v="9"/>
    <x v="5"/>
    <x v="8"/>
    <x v="62"/>
  </r>
  <r>
    <x v="2"/>
    <x v="118"/>
    <x v="77"/>
    <x v="32"/>
    <x v="22"/>
    <x v="1"/>
    <x v="3"/>
    <x v="9"/>
    <x v="5"/>
    <x v="8"/>
    <x v="72"/>
  </r>
  <r>
    <x v="2"/>
    <x v="119"/>
    <x v="76"/>
    <x v="32"/>
    <x v="22"/>
    <x v="1"/>
    <x v="3"/>
    <x v="9"/>
    <x v="5"/>
    <x v="8"/>
    <x v="62"/>
  </r>
  <r>
    <x v="2"/>
    <x v="107"/>
    <x v="73"/>
    <x v="32"/>
    <x v="22"/>
    <x v="1"/>
    <x v="3"/>
    <x v="9"/>
    <x v="5"/>
    <x v="8"/>
    <x v="70"/>
  </r>
  <r>
    <x v="2"/>
    <x v="108"/>
    <x v="77"/>
    <x v="32"/>
    <x v="22"/>
    <x v="1"/>
    <x v="3"/>
    <x v="9"/>
    <x v="5"/>
    <x v="8"/>
    <x v="72"/>
  </r>
  <r>
    <x v="2"/>
    <x v="108"/>
    <x v="73"/>
    <x v="32"/>
    <x v="22"/>
    <x v="1"/>
    <x v="3"/>
    <x v="9"/>
    <x v="5"/>
    <x v="8"/>
    <x v="70"/>
  </r>
  <r>
    <x v="2"/>
    <x v="120"/>
    <x v="77"/>
    <x v="32"/>
    <x v="22"/>
    <x v="1"/>
    <x v="3"/>
    <x v="9"/>
    <x v="5"/>
    <x v="8"/>
    <x v="72"/>
  </r>
  <r>
    <x v="2"/>
    <x v="109"/>
    <x v="77"/>
    <x v="32"/>
    <x v="22"/>
    <x v="1"/>
    <x v="3"/>
    <x v="9"/>
    <x v="5"/>
    <x v="8"/>
    <x v="72"/>
  </r>
  <r>
    <x v="2"/>
    <x v="121"/>
    <x v="79"/>
    <x v="32"/>
    <x v="22"/>
    <x v="1"/>
    <x v="3"/>
    <x v="9"/>
    <x v="5"/>
    <x v="8"/>
    <x v="67"/>
  </r>
  <r>
    <x v="2"/>
    <x v="122"/>
    <x v="76"/>
    <x v="32"/>
    <x v="22"/>
    <x v="1"/>
    <x v="3"/>
    <x v="9"/>
    <x v="5"/>
    <x v="8"/>
    <x v="62"/>
  </r>
  <r>
    <x v="2"/>
    <x v="123"/>
    <x v="76"/>
    <x v="32"/>
    <x v="22"/>
    <x v="1"/>
    <x v="3"/>
    <x v="9"/>
    <x v="5"/>
    <x v="8"/>
    <x v="62"/>
  </r>
  <r>
    <x v="2"/>
    <x v="110"/>
    <x v="92"/>
    <x v="32"/>
    <x v="22"/>
    <x v="1"/>
    <x v="3"/>
    <x v="9"/>
    <x v="5"/>
    <x v="8"/>
    <x v="83"/>
  </r>
  <r>
    <x v="2"/>
    <x v="110"/>
    <x v="73"/>
    <x v="32"/>
    <x v="22"/>
    <x v="1"/>
    <x v="3"/>
    <x v="9"/>
    <x v="5"/>
    <x v="8"/>
    <x v="70"/>
  </r>
  <r>
    <x v="2"/>
    <x v="124"/>
    <x v="77"/>
    <x v="32"/>
    <x v="22"/>
    <x v="1"/>
    <x v="3"/>
    <x v="9"/>
    <x v="5"/>
    <x v="8"/>
    <x v="72"/>
  </r>
  <r>
    <x v="2"/>
    <x v="125"/>
    <x v="108"/>
    <x v="32"/>
    <x v="22"/>
    <x v="1"/>
    <x v="3"/>
    <x v="9"/>
    <x v="5"/>
    <x v="8"/>
    <x v="95"/>
  </r>
  <r>
    <x v="2"/>
    <x v="125"/>
    <x v="73"/>
    <x v="32"/>
    <x v="22"/>
    <x v="1"/>
    <x v="3"/>
    <x v="9"/>
    <x v="5"/>
    <x v="8"/>
    <x v="70"/>
  </r>
  <r>
    <x v="2"/>
    <x v="111"/>
    <x v="92"/>
    <x v="32"/>
    <x v="22"/>
    <x v="1"/>
    <x v="3"/>
    <x v="9"/>
    <x v="5"/>
    <x v="8"/>
    <x v="83"/>
  </r>
  <r>
    <x v="2"/>
    <x v="111"/>
    <x v="73"/>
    <x v="32"/>
    <x v="22"/>
    <x v="1"/>
    <x v="3"/>
    <x v="9"/>
    <x v="5"/>
    <x v="8"/>
    <x v="70"/>
  </r>
  <r>
    <x v="2"/>
    <x v="126"/>
    <x v="77"/>
    <x v="32"/>
    <x v="22"/>
    <x v="1"/>
    <x v="3"/>
    <x v="9"/>
    <x v="5"/>
    <x v="8"/>
    <x v="72"/>
  </r>
  <r>
    <x v="2"/>
    <x v="112"/>
    <x v="76"/>
    <x v="32"/>
    <x v="22"/>
    <x v="1"/>
    <x v="3"/>
    <x v="9"/>
    <x v="5"/>
    <x v="8"/>
    <x v="62"/>
  </r>
  <r>
    <x v="2"/>
    <x v="127"/>
    <x v="77"/>
    <x v="32"/>
    <x v="22"/>
    <x v="1"/>
    <x v="3"/>
    <x v="9"/>
    <x v="5"/>
    <x v="8"/>
    <x v="72"/>
  </r>
  <r>
    <x v="2"/>
    <x v="128"/>
    <x v="77"/>
    <x v="32"/>
    <x v="22"/>
    <x v="1"/>
    <x v="3"/>
    <x v="9"/>
    <x v="5"/>
    <x v="8"/>
    <x v="72"/>
  </r>
  <r>
    <x v="2"/>
    <x v="113"/>
    <x v="79"/>
    <x v="32"/>
    <x v="22"/>
    <x v="1"/>
    <x v="3"/>
    <x v="9"/>
    <x v="5"/>
    <x v="8"/>
    <x v="67"/>
  </r>
  <r>
    <x v="2"/>
    <x v="129"/>
    <x v="92"/>
    <x v="32"/>
    <x v="22"/>
    <x v="1"/>
    <x v="3"/>
    <x v="9"/>
    <x v="5"/>
    <x v="8"/>
    <x v="83"/>
  </r>
  <r>
    <x v="2"/>
    <x v="106"/>
    <x v="76"/>
    <x v="32"/>
    <x v="22"/>
    <x v="1"/>
    <x v="3"/>
    <x v="9"/>
    <x v="5"/>
    <x v="8"/>
    <x v="62"/>
  </r>
  <r>
    <x v="2"/>
    <x v="114"/>
    <x v="77"/>
    <x v="32"/>
    <x v="22"/>
    <x v="1"/>
    <x v="3"/>
    <x v="9"/>
    <x v="5"/>
    <x v="8"/>
    <x v="72"/>
  </r>
  <r>
    <x v="0"/>
    <x v="130"/>
    <x v="109"/>
    <x v="36"/>
    <x v="25"/>
    <x v="0"/>
    <x v="0"/>
    <x v="0"/>
    <x v="0"/>
    <x v="9"/>
    <x v="26"/>
  </r>
  <r>
    <x v="0"/>
    <x v="131"/>
    <x v="110"/>
    <x v="37"/>
    <x v="11"/>
    <x v="0"/>
    <x v="0"/>
    <x v="0"/>
    <x v="0"/>
    <x v="9"/>
    <x v="45"/>
  </r>
  <r>
    <x v="0"/>
    <x v="132"/>
    <x v="111"/>
    <x v="38"/>
    <x v="0"/>
    <x v="0"/>
    <x v="0"/>
    <x v="0"/>
    <x v="0"/>
    <x v="9"/>
    <x v="96"/>
  </r>
  <r>
    <x v="0"/>
    <x v="132"/>
    <x v="112"/>
    <x v="39"/>
    <x v="26"/>
    <x v="0"/>
    <x v="0"/>
    <x v="0"/>
    <x v="0"/>
    <x v="9"/>
    <x v="97"/>
  </r>
  <r>
    <x v="0"/>
    <x v="133"/>
    <x v="113"/>
    <x v="22"/>
    <x v="4"/>
    <x v="0"/>
    <x v="0"/>
    <x v="1"/>
    <x v="1"/>
    <x v="9"/>
    <x v="98"/>
  </r>
  <r>
    <x v="0"/>
    <x v="133"/>
    <x v="114"/>
    <x v="7"/>
    <x v="4"/>
    <x v="0"/>
    <x v="0"/>
    <x v="1"/>
    <x v="2"/>
    <x v="9"/>
    <x v="99"/>
  </r>
  <r>
    <x v="0"/>
    <x v="133"/>
    <x v="115"/>
    <x v="4"/>
    <x v="4"/>
    <x v="0"/>
    <x v="0"/>
    <x v="1"/>
    <x v="1"/>
    <x v="9"/>
    <x v="100"/>
  </r>
  <r>
    <x v="0"/>
    <x v="133"/>
    <x v="116"/>
    <x v="5"/>
    <x v="4"/>
    <x v="0"/>
    <x v="0"/>
    <x v="1"/>
    <x v="2"/>
    <x v="9"/>
    <x v="101"/>
  </r>
  <r>
    <x v="0"/>
    <x v="134"/>
    <x v="117"/>
    <x v="40"/>
    <x v="27"/>
    <x v="0"/>
    <x v="0"/>
    <x v="0"/>
    <x v="0"/>
    <x v="9"/>
    <x v="102"/>
  </r>
  <r>
    <x v="0"/>
    <x v="134"/>
    <x v="118"/>
    <x v="3"/>
    <x v="3"/>
    <x v="0"/>
    <x v="0"/>
    <x v="0"/>
    <x v="0"/>
    <x v="9"/>
    <x v="103"/>
  </r>
  <r>
    <x v="0"/>
    <x v="134"/>
    <x v="119"/>
    <x v="41"/>
    <x v="28"/>
    <x v="0"/>
    <x v="0"/>
    <x v="0"/>
    <x v="0"/>
    <x v="9"/>
    <x v="104"/>
  </r>
  <r>
    <x v="0"/>
    <x v="135"/>
    <x v="120"/>
    <x v="42"/>
    <x v="29"/>
    <x v="0"/>
    <x v="0"/>
    <x v="0"/>
    <x v="0"/>
    <x v="9"/>
    <x v="105"/>
  </r>
  <r>
    <x v="0"/>
    <x v="135"/>
    <x v="121"/>
    <x v="2"/>
    <x v="2"/>
    <x v="0"/>
    <x v="0"/>
    <x v="0"/>
    <x v="0"/>
    <x v="9"/>
    <x v="106"/>
  </r>
  <r>
    <x v="0"/>
    <x v="135"/>
    <x v="122"/>
    <x v="19"/>
    <x v="9"/>
    <x v="0"/>
    <x v="0"/>
    <x v="0"/>
    <x v="0"/>
    <x v="9"/>
    <x v="107"/>
  </r>
  <r>
    <x v="1"/>
    <x v="136"/>
    <x v="106"/>
    <x v="34"/>
    <x v="24"/>
    <x v="1"/>
    <x v="4"/>
    <x v="7"/>
    <x v="4"/>
    <x v="9"/>
    <x v="80"/>
  </r>
  <r>
    <x v="1"/>
    <x v="137"/>
    <x v="89"/>
    <x v="34"/>
    <x v="24"/>
    <x v="1"/>
    <x v="4"/>
    <x v="7"/>
    <x v="4"/>
    <x v="9"/>
    <x v="80"/>
  </r>
  <r>
    <x v="1"/>
    <x v="138"/>
    <x v="105"/>
    <x v="34"/>
    <x v="24"/>
    <x v="1"/>
    <x v="4"/>
    <x v="7"/>
    <x v="4"/>
    <x v="9"/>
    <x v="93"/>
  </r>
  <r>
    <x v="1"/>
    <x v="130"/>
    <x v="105"/>
    <x v="34"/>
    <x v="24"/>
    <x v="1"/>
    <x v="4"/>
    <x v="7"/>
    <x v="4"/>
    <x v="9"/>
    <x v="93"/>
  </r>
  <r>
    <x v="1"/>
    <x v="132"/>
    <x v="105"/>
    <x v="34"/>
    <x v="24"/>
    <x v="1"/>
    <x v="4"/>
    <x v="7"/>
    <x v="4"/>
    <x v="9"/>
    <x v="93"/>
  </r>
  <r>
    <x v="1"/>
    <x v="133"/>
    <x v="89"/>
    <x v="34"/>
    <x v="24"/>
    <x v="1"/>
    <x v="4"/>
    <x v="7"/>
    <x v="4"/>
    <x v="9"/>
    <x v="80"/>
  </r>
  <r>
    <x v="1"/>
    <x v="139"/>
    <x v="106"/>
    <x v="34"/>
    <x v="24"/>
    <x v="1"/>
    <x v="4"/>
    <x v="7"/>
    <x v="4"/>
    <x v="9"/>
    <x v="80"/>
  </r>
  <r>
    <x v="1"/>
    <x v="140"/>
    <x v="70"/>
    <x v="26"/>
    <x v="16"/>
    <x v="1"/>
    <x v="3"/>
    <x v="4"/>
    <x v="4"/>
    <x v="9"/>
    <x v="67"/>
  </r>
  <r>
    <x v="1"/>
    <x v="141"/>
    <x v="70"/>
    <x v="26"/>
    <x v="16"/>
    <x v="1"/>
    <x v="3"/>
    <x v="4"/>
    <x v="4"/>
    <x v="9"/>
    <x v="67"/>
  </r>
  <r>
    <x v="2"/>
    <x v="142"/>
    <x v="77"/>
    <x v="32"/>
    <x v="22"/>
    <x v="1"/>
    <x v="3"/>
    <x v="9"/>
    <x v="5"/>
    <x v="9"/>
    <x v="72"/>
  </r>
  <r>
    <x v="2"/>
    <x v="137"/>
    <x v="77"/>
    <x v="32"/>
    <x v="22"/>
    <x v="1"/>
    <x v="3"/>
    <x v="9"/>
    <x v="5"/>
    <x v="9"/>
    <x v="72"/>
  </r>
  <r>
    <x v="2"/>
    <x v="137"/>
    <x v="73"/>
    <x v="32"/>
    <x v="22"/>
    <x v="1"/>
    <x v="3"/>
    <x v="9"/>
    <x v="5"/>
    <x v="9"/>
    <x v="70"/>
  </r>
  <r>
    <x v="2"/>
    <x v="143"/>
    <x v="77"/>
    <x v="32"/>
    <x v="22"/>
    <x v="1"/>
    <x v="3"/>
    <x v="9"/>
    <x v="5"/>
    <x v="9"/>
    <x v="72"/>
  </r>
  <r>
    <x v="2"/>
    <x v="138"/>
    <x v="82"/>
    <x v="32"/>
    <x v="22"/>
    <x v="1"/>
    <x v="3"/>
    <x v="9"/>
    <x v="5"/>
    <x v="9"/>
    <x v="75"/>
  </r>
  <r>
    <x v="2"/>
    <x v="130"/>
    <x v="77"/>
    <x v="32"/>
    <x v="22"/>
    <x v="1"/>
    <x v="3"/>
    <x v="9"/>
    <x v="5"/>
    <x v="9"/>
    <x v="72"/>
  </r>
  <r>
    <x v="2"/>
    <x v="131"/>
    <x v="123"/>
    <x v="32"/>
    <x v="22"/>
    <x v="1"/>
    <x v="3"/>
    <x v="9"/>
    <x v="5"/>
    <x v="9"/>
    <x v="11"/>
  </r>
  <r>
    <x v="2"/>
    <x v="132"/>
    <x v="124"/>
    <x v="32"/>
    <x v="22"/>
    <x v="1"/>
    <x v="3"/>
    <x v="9"/>
    <x v="5"/>
    <x v="9"/>
    <x v="67"/>
  </r>
  <r>
    <x v="2"/>
    <x v="144"/>
    <x v="123"/>
    <x v="32"/>
    <x v="22"/>
    <x v="1"/>
    <x v="3"/>
    <x v="9"/>
    <x v="5"/>
    <x v="9"/>
    <x v="11"/>
  </r>
  <r>
    <x v="2"/>
    <x v="133"/>
    <x v="125"/>
    <x v="32"/>
    <x v="22"/>
    <x v="1"/>
    <x v="3"/>
    <x v="9"/>
    <x v="5"/>
    <x v="9"/>
    <x v="108"/>
  </r>
  <r>
    <x v="2"/>
    <x v="134"/>
    <x v="126"/>
    <x v="32"/>
    <x v="22"/>
    <x v="1"/>
    <x v="3"/>
    <x v="9"/>
    <x v="5"/>
    <x v="9"/>
    <x v="95"/>
  </r>
  <r>
    <x v="2"/>
    <x v="139"/>
    <x v="123"/>
    <x v="32"/>
    <x v="22"/>
    <x v="1"/>
    <x v="3"/>
    <x v="9"/>
    <x v="5"/>
    <x v="9"/>
    <x v="11"/>
  </r>
  <r>
    <x v="2"/>
    <x v="135"/>
    <x v="127"/>
    <x v="32"/>
    <x v="22"/>
    <x v="1"/>
    <x v="3"/>
    <x v="9"/>
    <x v="5"/>
    <x v="9"/>
    <x v="109"/>
  </r>
  <r>
    <x v="2"/>
    <x v="145"/>
    <x v="128"/>
    <x v="32"/>
    <x v="22"/>
    <x v="1"/>
    <x v="3"/>
    <x v="9"/>
    <x v="5"/>
    <x v="9"/>
    <x v="110"/>
  </r>
  <r>
    <x v="2"/>
    <x v="145"/>
    <x v="129"/>
    <x v="32"/>
    <x v="22"/>
    <x v="1"/>
    <x v="3"/>
    <x v="9"/>
    <x v="5"/>
    <x v="9"/>
    <x v="111"/>
  </r>
  <r>
    <x v="2"/>
    <x v="146"/>
    <x v="123"/>
    <x v="32"/>
    <x v="22"/>
    <x v="1"/>
    <x v="3"/>
    <x v="9"/>
    <x v="5"/>
    <x v="9"/>
    <x v="11"/>
  </r>
  <r>
    <x v="2"/>
    <x v="146"/>
    <x v="130"/>
    <x v="32"/>
    <x v="22"/>
    <x v="1"/>
    <x v="3"/>
    <x v="9"/>
    <x v="5"/>
    <x v="9"/>
    <x v="112"/>
  </r>
  <r>
    <x v="2"/>
    <x v="140"/>
    <x v="123"/>
    <x v="32"/>
    <x v="22"/>
    <x v="1"/>
    <x v="3"/>
    <x v="9"/>
    <x v="5"/>
    <x v="9"/>
    <x v="11"/>
  </r>
  <r>
    <x v="2"/>
    <x v="147"/>
    <x v="125"/>
    <x v="32"/>
    <x v="22"/>
    <x v="1"/>
    <x v="3"/>
    <x v="9"/>
    <x v="5"/>
    <x v="9"/>
    <x v="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N31" firstHeaderRow="1" firstDataRow="2" firstDataCol="3"/>
  <pivotFields count="11"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compact="0" multipleItemSelectionAllowed="1" showAll="0"/>
    <pivotField axis="axisRow" compact="0" multipleItemSelectionAllowed="1" showAll="0">
      <items count="7">
        <item x="2"/>
        <item x="3"/>
        <item x="1"/>
        <item x="4"/>
        <item x="5"/>
        <item x="0"/>
        <item t="default"/>
      </items>
    </pivotField>
    <pivotField axis="axisRow" compact="0" multipleItemSelectionAllowed="1" showAll="0">
      <items count="11">
        <item x="7"/>
        <item x="3"/>
        <item x="2"/>
        <item x="8"/>
        <item x="5"/>
        <item x="1"/>
        <item x="4"/>
        <item x="9"/>
        <item x="0"/>
        <item x="6"/>
        <item t="default"/>
      </items>
    </pivotField>
    <pivotField axis="axisRow" compact="0" multipleItemSelectionAllowed="1" showAll="0">
      <items count="8">
        <item x="6"/>
        <item x="1"/>
        <item x="2"/>
        <item x="0"/>
        <item x="4"/>
        <item x="3"/>
        <item x="5"/>
        <item t="default"/>
      </items>
    </pivotField>
    <pivotField axis="axisCol" compact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multipleItemSelectionAllowed="1" showAll="0"/>
  </pivotFields>
  <rowFields count="3">
    <field x="6"/>
    <field x="7"/>
    <field x="8"/>
  </rowFields>
  <rowItems count="29">
    <i>
      <x/>
    </i>
    <i r="1">
      <x v="1"/>
    </i>
    <i r="2">
      <x v="4"/>
    </i>
    <i>
      <x v="1"/>
    </i>
    <i r="1">
      <x v="6"/>
    </i>
    <i r="2">
      <x v="4"/>
    </i>
    <i r="1">
      <x v="7"/>
    </i>
    <i r="2">
      <x v="6"/>
    </i>
    <i>
      <x v="2"/>
    </i>
    <i r="1">
      <x v="2"/>
    </i>
    <i r="2">
      <x v="5"/>
    </i>
    <i>
      <x v="3"/>
    </i>
    <i r="1">
      <x/>
    </i>
    <i r="2">
      <x v="4"/>
    </i>
    <i r="1">
      <x v="3"/>
    </i>
    <i r="2">
      <x v="4"/>
    </i>
    <i r="1">
      <x v="4"/>
    </i>
    <i r="2">
      <x v="4"/>
    </i>
    <i>
      <x v="4"/>
    </i>
    <i r="1">
      <x v="9"/>
    </i>
    <i r="2">
      <x v="6"/>
    </i>
    <i>
      <x v="5"/>
    </i>
    <i r="1">
      <x v="5"/>
    </i>
    <i r="2">
      <x v="1"/>
    </i>
    <i r="2">
      <x v="2"/>
    </i>
    <i r="1">
      <x v="8"/>
    </i>
    <i r="2">
      <x/>
    </i>
    <i r="2">
      <x v="3"/>
    </i>
    <i t="grand">
      <x/>
    </i>
  </rowItems>
  <colFields count="1">
    <field x="9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求和项:收入(万)" fld="10" baseField="0" baseItem="0"/>
  </dataFields>
  <pivotTableStyleInfo name="PivotStylePreset3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3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1" sqref="A1"/>
    </sheetView>
  </sheetViews>
  <sheetFormatPr defaultColWidth="9.16666666666667" defaultRowHeight="14.25" customHeight="1"/>
  <cols>
    <col min="1" max="1" width="14.875" style="1"/>
    <col min="2" max="2" width="11.3166666666667" style="1"/>
    <col min="3" max="3" width="11.6" style="15"/>
    <col min="4" max="13" width="7.46666666666667" style="1"/>
    <col min="14" max="14" width="8.46666666666667" style="1"/>
    <col min="15" max="16" width="11.6666666666667" style="1"/>
    <col min="17" max="17" width="8.66666666666667" style="1"/>
    <col min="18" max="19" width="11.6666666666667" style="1"/>
    <col min="20" max="20" width="9.66666666666667" style="1"/>
    <col min="21" max="23" width="11.6666666666667" style="1"/>
    <col min="24" max="24" width="9.66666666666667" style="1"/>
    <col min="25" max="27" width="11.6666666666667" style="1"/>
    <col min="28" max="28" width="8.66666666666667" style="1"/>
    <col min="29" max="29" width="11.6666666666667" style="1"/>
    <col min="30" max="40" width="9.16666666666667" style="1"/>
  </cols>
  <sheetData>
    <row r="1" customHeight="1" spans="1:14">
      <c r="A1" t="s">
        <v>0</v>
      </c>
      <c r="B1"/>
      <c r="C1"/>
      <c r="D1" t="s">
        <v>1</v>
      </c>
      <c r="E1"/>
      <c r="F1"/>
      <c r="G1"/>
      <c r="H1"/>
      <c r="I1"/>
      <c r="J1"/>
      <c r="K1"/>
      <c r="L1"/>
      <c r="M1"/>
      <c r="N1"/>
    </row>
    <row r="2" customHeight="1" spans="1:14">
      <c r="A2" t="s">
        <v>2</v>
      </c>
      <c r="B2" t="s">
        <v>3</v>
      </c>
      <c r="C2" t="s">
        <v>4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 t="s">
        <v>5</v>
      </c>
    </row>
    <row r="3" customHeight="1" spans="1:14">
      <c r="A3" t="s">
        <v>6</v>
      </c>
      <c r="B3"/>
      <c r="C3"/>
      <c r="D3"/>
      <c r="E3"/>
      <c r="F3"/>
      <c r="G3">
        <v>0.86</v>
      </c>
      <c r="H3"/>
      <c r="I3"/>
      <c r="J3">
        <v>1.44</v>
      </c>
      <c r="K3"/>
      <c r="L3"/>
      <c r="M3"/>
      <c r="N3">
        <v>2.3</v>
      </c>
    </row>
    <row r="4" customHeight="1" spans="1:14">
      <c r="A4"/>
      <c r="B4" t="s">
        <v>7</v>
      </c>
      <c r="C4"/>
      <c r="D4"/>
      <c r="E4"/>
      <c r="F4"/>
      <c r="G4">
        <v>0.86</v>
      </c>
      <c r="H4"/>
      <c r="I4"/>
      <c r="J4">
        <v>1.44</v>
      </c>
      <c r="K4"/>
      <c r="L4"/>
      <c r="M4"/>
      <c r="N4">
        <v>2.3</v>
      </c>
    </row>
    <row r="5" customHeight="1" spans="1:14">
      <c r="A5"/>
      <c r="B5"/>
      <c r="C5" t="s">
        <v>8</v>
      </c>
      <c r="D5"/>
      <c r="E5"/>
      <c r="F5"/>
      <c r="G5">
        <v>0.86</v>
      </c>
      <c r="H5"/>
      <c r="I5"/>
      <c r="J5">
        <v>1.44</v>
      </c>
      <c r="K5"/>
      <c r="L5"/>
      <c r="M5"/>
      <c r="N5">
        <v>2.3</v>
      </c>
    </row>
    <row r="6" customHeight="1" spans="1:14">
      <c r="A6" t="s">
        <v>9</v>
      </c>
      <c r="B6"/>
      <c r="C6"/>
      <c r="D6"/>
      <c r="E6"/>
      <c r="F6"/>
      <c r="G6"/>
      <c r="H6">
        <v>0.17</v>
      </c>
      <c r="I6">
        <v>2.73</v>
      </c>
      <c r="J6">
        <v>1.67</v>
      </c>
      <c r="K6">
        <v>3.17</v>
      </c>
      <c r="L6">
        <v>2.59</v>
      </c>
      <c r="M6">
        <v>2.17</v>
      </c>
      <c r="N6">
        <v>12.5</v>
      </c>
    </row>
    <row r="7" customHeight="1" spans="1:14">
      <c r="A7"/>
      <c r="B7" t="s">
        <v>10</v>
      </c>
      <c r="C7"/>
      <c r="D7"/>
      <c r="E7"/>
      <c r="F7"/>
      <c r="G7"/>
      <c r="H7">
        <v>0.17</v>
      </c>
      <c r="I7">
        <v>0.07</v>
      </c>
      <c r="J7">
        <v>0.07</v>
      </c>
      <c r="K7">
        <v>0.07</v>
      </c>
      <c r="L7">
        <v>0.39</v>
      </c>
      <c r="M7">
        <v>0.22</v>
      </c>
      <c r="N7">
        <v>0.99</v>
      </c>
    </row>
    <row r="8" customHeight="1" spans="1:14">
      <c r="A8"/>
      <c r="B8"/>
      <c r="C8" t="s">
        <v>8</v>
      </c>
      <c r="D8"/>
      <c r="E8"/>
      <c r="F8"/>
      <c r="G8"/>
      <c r="H8">
        <v>0.17</v>
      </c>
      <c r="I8">
        <v>0.07</v>
      </c>
      <c r="J8">
        <v>0.07</v>
      </c>
      <c r="K8">
        <v>0.07</v>
      </c>
      <c r="L8">
        <v>0.39</v>
      </c>
      <c r="M8">
        <v>0.22</v>
      </c>
      <c r="N8">
        <v>0.99</v>
      </c>
    </row>
    <row r="9" customHeight="1" spans="1:14">
      <c r="A9"/>
      <c r="B9" t="s">
        <v>11</v>
      </c>
      <c r="C9"/>
      <c r="D9"/>
      <c r="E9"/>
      <c r="F9"/>
      <c r="G9"/>
      <c r="H9"/>
      <c r="I9">
        <v>2.66</v>
      </c>
      <c r="J9">
        <v>1.6</v>
      </c>
      <c r="K9">
        <v>3.1</v>
      </c>
      <c r="L9">
        <v>2.2</v>
      </c>
      <c r="M9">
        <v>1.95</v>
      </c>
      <c r="N9">
        <v>11.51</v>
      </c>
    </row>
    <row r="10" customHeight="1" spans="1:14">
      <c r="A10"/>
      <c r="B10"/>
      <c r="C10" t="s">
        <v>12</v>
      </c>
      <c r="D10"/>
      <c r="E10"/>
      <c r="F10"/>
      <c r="G10"/>
      <c r="H10"/>
      <c r="I10">
        <v>2.66</v>
      </c>
      <c r="J10">
        <v>1.6</v>
      </c>
      <c r="K10">
        <v>3.1</v>
      </c>
      <c r="L10">
        <v>2.2</v>
      </c>
      <c r="M10">
        <v>1.95</v>
      </c>
      <c r="N10">
        <v>11.51</v>
      </c>
    </row>
    <row r="11" customHeight="1" spans="1:14">
      <c r="A11" t="s">
        <v>13</v>
      </c>
      <c r="B11"/>
      <c r="C11"/>
      <c r="D11">
        <v>0.23</v>
      </c>
      <c r="E11"/>
      <c r="F11">
        <v>2.73</v>
      </c>
      <c r="G11">
        <v>0.19</v>
      </c>
      <c r="H11"/>
      <c r="I11"/>
      <c r="J11"/>
      <c r="K11"/>
      <c r="L11"/>
      <c r="M11"/>
      <c r="N11">
        <v>3.15</v>
      </c>
    </row>
    <row r="12" customHeight="1" spans="1:14">
      <c r="A12"/>
      <c r="B12" t="s">
        <v>14</v>
      </c>
      <c r="C12"/>
      <c r="D12">
        <v>0.23</v>
      </c>
      <c r="E12"/>
      <c r="F12">
        <v>2.73</v>
      </c>
      <c r="G12">
        <v>0.19</v>
      </c>
      <c r="H12"/>
      <c r="I12"/>
      <c r="J12"/>
      <c r="K12"/>
      <c r="L12"/>
      <c r="M12"/>
      <c r="N12">
        <v>3.15</v>
      </c>
    </row>
    <row r="13" customHeight="1" spans="1:14">
      <c r="A13"/>
      <c r="B13"/>
      <c r="C13" t="s">
        <v>15</v>
      </c>
      <c r="D13">
        <v>0.23</v>
      </c>
      <c r="E13"/>
      <c r="F13">
        <v>2.73</v>
      </c>
      <c r="G13">
        <v>0.19</v>
      </c>
      <c r="H13"/>
      <c r="I13"/>
      <c r="J13"/>
      <c r="K13"/>
      <c r="L13"/>
      <c r="M13"/>
      <c r="N13">
        <v>3.15</v>
      </c>
    </row>
    <row r="14" customHeight="1" spans="1:14">
      <c r="A14" t="s">
        <v>16</v>
      </c>
      <c r="B14"/>
      <c r="C14"/>
      <c r="D14">
        <v>0</v>
      </c>
      <c r="E14">
        <v>0.11</v>
      </c>
      <c r="F14">
        <v>-0.03</v>
      </c>
      <c r="G14"/>
      <c r="H14"/>
      <c r="I14">
        <v>21.22</v>
      </c>
      <c r="J14"/>
      <c r="K14">
        <v>0.13</v>
      </c>
      <c r="L14">
        <v>0.23</v>
      </c>
      <c r="M14">
        <v>0.13</v>
      </c>
      <c r="N14">
        <v>21.79</v>
      </c>
    </row>
    <row r="15" customHeight="1" spans="1:14">
      <c r="A15"/>
      <c r="B15" t="s">
        <v>17</v>
      </c>
      <c r="C15"/>
      <c r="D15">
        <v>0</v>
      </c>
      <c r="E15"/>
      <c r="F15">
        <v>0</v>
      </c>
      <c r="G15"/>
      <c r="H15"/>
      <c r="I15"/>
      <c r="J15"/>
      <c r="K15">
        <v>0.02</v>
      </c>
      <c r="L15">
        <v>0.23</v>
      </c>
      <c r="M15">
        <v>0.13</v>
      </c>
      <c r="N15">
        <v>0.38</v>
      </c>
    </row>
    <row r="16" customHeight="1" spans="1:14">
      <c r="A16"/>
      <c r="B16"/>
      <c r="C16" t="s">
        <v>8</v>
      </c>
      <c r="D16">
        <v>0</v>
      </c>
      <c r="E16"/>
      <c r="F16">
        <v>0</v>
      </c>
      <c r="G16"/>
      <c r="H16"/>
      <c r="I16"/>
      <c r="J16"/>
      <c r="K16">
        <v>0.02</v>
      </c>
      <c r="L16">
        <v>0.23</v>
      </c>
      <c r="M16">
        <v>0.13</v>
      </c>
      <c r="N16">
        <v>0.38</v>
      </c>
    </row>
    <row r="17" customHeight="1" spans="1:14">
      <c r="A17"/>
      <c r="B17" t="s">
        <v>18</v>
      </c>
      <c r="C17"/>
      <c r="D17"/>
      <c r="E17">
        <v>0.11</v>
      </c>
      <c r="F17">
        <v>-0.03</v>
      </c>
      <c r="G17"/>
      <c r="H17"/>
      <c r="I17">
        <v>0.22</v>
      </c>
      <c r="J17"/>
      <c r="K17">
        <v>0.11</v>
      </c>
      <c r="L17"/>
      <c r="M17"/>
      <c r="N17">
        <v>0.41</v>
      </c>
    </row>
    <row r="18" customHeight="1" spans="1:14">
      <c r="A18"/>
      <c r="B18"/>
      <c r="C18" t="s">
        <v>8</v>
      </c>
      <c r="D18"/>
      <c r="E18">
        <v>0.11</v>
      </c>
      <c r="F18">
        <v>-0.03</v>
      </c>
      <c r="G18"/>
      <c r="H18"/>
      <c r="I18">
        <v>0.22</v>
      </c>
      <c r="J18"/>
      <c r="K18">
        <v>0.11</v>
      </c>
      <c r="L18"/>
      <c r="M18"/>
      <c r="N18">
        <v>0.41</v>
      </c>
    </row>
    <row r="19" customHeight="1" spans="1:14">
      <c r="A19"/>
      <c r="B19" t="s">
        <v>19</v>
      </c>
      <c r="C19"/>
      <c r="D19"/>
      <c r="E19"/>
      <c r="F19"/>
      <c r="G19"/>
      <c r="H19"/>
      <c r="I19">
        <v>21</v>
      </c>
      <c r="J19"/>
      <c r="K19"/>
      <c r="L19"/>
      <c r="M19"/>
      <c r="N19">
        <v>21</v>
      </c>
    </row>
    <row r="20" customHeight="1" spans="1:14">
      <c r="A20"/>
      <c r="B20"/>
      <c r="C20" t="s">
        <v>8</v>
      </c>
      <c r="D20"/>
      <c r="E20"/>
      <c r="F20"/>
      <c r="G20"/>
      <c r="H20"/>
      <c r="I20">
        <v>21</v>
      </c>
      <c r="J20"/>
      <c r="K20"/>
      <c r="L20"/>
      <c r="M20"/>
      <c r="N20">
        <v>21</v>
      </c>
    </row>
    <row r="21" customHeight="1" spans="1:14">
      <c r="A21" t="s">
        <v>20</v>
      </c>
      <c r="B21"/>
      <c r="C21"/>
      <c r="D21"/>
      <c r="E21"/>
      <c r="F21"/>
      <c r="G21"/>
      <c r="H21"/>
      <c r="I21"/>
      <c r="J21">
        <v>15</v>
      </c>
      <c r="K21"/>
      <c r="L21">
        <v>45</v>
      </c>
      <c r="M21"/>
      <c r="N21">
        <v>60</v>
      </c>
    </row>
    <row r="22" customHeight="1" spans="1:14">
      <c r="A22"/>
      <c r="B22" t="s">
        <v>21</v>
      </c>
      <c r="C22"/>
      <c r="D22"/>
      <c r="E22"/>
      <c r="F22"/>
      <c r="G22"/>
      <c r="H22"/>
      <c r="I22"/>
      <c r="J22">
        <v>15</v>
      </c>
      <c r="K22"/>
      <c r="L22">
        <v>45</v>
      </c>
      <c r="M22"/>
      <c r="N22">
        <v>60</v>
      </c>
    </row>
    <row r="23" customHeight="1" spans="1:14">
      <c r="A23"/>
      <c r="B23"/>
      <c r="C23" t="s">
        <v>12</v>
      </c>
      <c r="D23"/>
      <c r="E23"/>
      <c r="F23"/>
      <c r="G23"/>
      <c r="H23"/>
      <c r="I23"/>
      <c r="J23">
        <v>15</v>
      </c>
      <c r="K23"/>
      <c r="L23">
        <v>45</v>
      </c>
      <c r="M23"/>
      <c r="N23">
        <v>60</v>
      </c>
    </row>
    <row r="24" customHeight="1" spans="1:14">
      <c r="A24" t="s">
        <v>22</v>
      </c>
      <c r="B24"/>
      <c r="C24"/>
      <c r="D24">
        <v>17.97</v>
      </c>
      <c r="E24">
        <v>4.65</v>
      </c>
      <c r="F24">
        <v>555.37</v>
      </c>
      <c r="G24">
        <v>49.1</v>
      </c>
      <c r="H24">
        <v>138.22</v>
      </c>
      <c r="I24">
        <v>268.43</v>
      </c>
      <c r="J24">
        <v>21.92</v>
      </c>
      <c r="K24">
        <v>35.76</v>
      </c>
      <c r="L24">
        <v>317.67</v>
      </c>
      <c r="M24">
        <v>66.18</v>
      </c>
      <c r="N24">
        <v>1475.27</v>
      </c>
    </row>
    <row r="25" customHeight="1" spans="1:14">
      <c r="A25"/>
      <c r="B25" t="s">
        <v>23</v>
      </c>
      <c r="C25"/>
      <c r="D25">
        <v>13.77</v>
      </c>
      <c r="E25">
        <v>4.65</v>
      </c>
      <c r="F25">
        <v>555.37</v>
      </c>
      <c r="G25">
        <v>40.67</v>
      </c>
      <c r="H25">
        <v>138.22</v>
      </c>
      <c r="I25">
        <v>268.34</v>
      </c>
      <c r="J25">
        <v>12.4</v>
      </c>
      <c r="K25">
        <v>33.43</v>
      </c>
      <c r="L25">
        <v>295.37</v>
      </c>
      <c r="M25">
        <v>46.78</v>
      </c>
      <c r="N25">
        <v>1409</v>
      </c>
    </row>
    <row r="26" customHeight="1" spans="1:14">
      <c r="A26"/>
      <c r="B26"/>
      <c r="C26" t="s">
        <v>24</v>
      </c>
      <c r="D26">
        <v>2.6</v>
      </c>
      <c r="E26">
        <v>1.82</v>
      </c>
      <c r="F26">
        <v>477.79</v>
      </c>
      <c r="G26">
        <v>29.59</v>
      </c>
      <c r="H26">
        <v>131.6</v>
      </c>
      <c r="I26">
        <v>200.63</v>
      </c>
      <c r="J26">
        <v>6.59</v>
      </c>
      <c r="K26">
        <v>18.38</v>
      </c>
      <c r="L26">
        <v>232.22</v>
      </c>
      <c r="M26">
        <v>40.91</v>
      </c>
      <c r="N26">
        <v>1142.13</v>
      </c>
    </row>
    <row r="27" customHeight="1" spans="1:14">
      <c r="A27"/>
      <c r="B27"/>
      <c r="C27" t="s">
        <v>25</v>
      </c>
      <c r="D27">
        <v>11.17</v>
      </c>
      <c r="E27">
        <v>2.83</v>
      </c>
      <c r="F27">
        <v>77.58</v>
      </c>
      <c r="G27">
        <v>11.08</v>
      </c>
      <c r="H27">
        <v>6.62</v>
      </c>
      <c r="I27">
        <v>67.71</v>
      </c>
      <c r="J27">
        <v>5.81</v>
      </c>
      <c r="K27">
        <v>15.05</v>
      </c>
      <c r="L27">
        <v>63.15</v>
      </c>
      <c r="M27">
        <v>5.87</v>
      </c>
      <c r="N27">
        <v>266.87</v>
      </c>
    </row>
    <row r="28" customHeight="1" spans="1:14">
      <c r="A28"/>
      <c r="B28" t="s">
        <v>26</v>
      </c>
      <c r="C28"/>
      <c r="D28">
        <v>4.2</v>
      </c>
      <c r="E28"/>
      <c r="F28">
        <v>0</v>
      </c>
      <c r="G28">
        <v>8.43</v>
      </c>
      <c r="H28"/>
      <c r="I28">
        <v>0.09</v>
      </c>
      <c r="J28">
        <v>9.52</v>
      </c>
      <c r="K28">
        <v>2.33</v>
      </c>
      <c r="L28">
        <v>22.3</v>
      </c>
      <c r="M28">
        <v>19.4</v>
      </c>
      <c r="N28">
        <v>66.27</v>
      </c>
    </row>
    <row r="29" customHeight="1" spans="1:14">
      <c r="A29"/>
      <c r="B29"/>
      <c r="C29" t="s">
        <v>27</v>
      </c>
      <c r="D29"/>
      <c r="E29"/>
      <c r="F29"/>
      <c r="G29"/>
      <c r="H29"/>
      <c r="I29"/>
      <c r="J29"/>
      <c r="K29"/>
      <c r="L29">
        <v>22.29</v>
      </c>
      <c r="M29"/>
      <c r="N29">
        <v>22.29</v>
      </c>
    </row>
    <row r="30" ht="18.75" customHeight="1" spans="1:14">
      <c r="A30"/>
      <c r="B30"/>
      <c r="C30" t="s">
        <v>28</v>
      </c>
      <c r="D30">
        <v>4.2</v>
      </c>
      <c r="E30"/>
      <c r="F30">
        <v>0</v>
      </c>
      <c r="G30">
        <v>8.43</v>
      </c>
      <c r="H30"/>
      <c r="I30">
        <v>0.09</v>
      </c>
      <c r="J30">
        <v>9.52</v>
      </c>
      <c r="K30">
        <v>2.33</v>
      </c>
      <c r="L30">
        <v>0.01</v>
      </c>
      <c r="M30">
        <v>19.4</v>
      </c>
      <c r="N30">
        <v>43.98</v>
      </c>
    </row>
    <row r="31" customHeight="1" spans="1:14">
      <c r="A31" t="s">
        <v>5</v>
      </c>
      <c r="B31"/>
      <c r="C31"/>
      <c r="D31">
        <v>18.2</v>
      </c>
      <c r="E31">
        <v>4.76</v>
      </c>
      <c r="F31">
        <v>558.07</v>
      </c>
      <c r="G31">
        <v>50.15</v>
      </c>
      <c r="H31">
        <v>138.39</v>
      </c>
      <c r="I31">
        <v>292.38</v>
      </c>
      <c r="J31">
        <v>40.03</v>
      </c>
      <c r="K31">
        <v>39.06</v>
      </c>
      <c r="L31">
        <v>365.49</v>
      </c>
      <c r="M31">
        <v>68.48</v>
      </c>
      <c r="N31">
        <v>1575.01</v>
      </c>
    </row>
    <row r="32" customHeight="1" spans="1:14">
      <c r="C32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65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3" sqref="I3"/>
    </sheetView>
  </sheetViews>
  <sheetFormatPr defaultColWidth="9.16666666666667" defaultRowHeight="14.25" customHeight="1"/>
  <cols>
    <col min="2" max="2" width="14" style="2" customWidth="1"/>
    <col min="3" max="3" width="15.1666666666667" style="24" customWidth="1"/>
    <col min="4" max="4" width="25.3333333333333" style="25" customWidth="1"/>
    <col min="5" max="5" width="52.1666666666667" style="26" customWidth="1"/>
    <col min="6" max="6" width="14" style="2" customWidth="1"/>
    <col min="7" max="7" width="15.1666666666667" style="3" customWidth="1"/>
    <col min="8" max="8" width="9.66666666666667" style="3" customWidth="1"/>
    <col min="9" max="9" width="14" style="3" customWidth="1"/>
    <col min="10" max="10" width="9.66666666666667" style="15" customWidth="1"/>
    <col min="11" max="11" width="14.1666666666667" style="24" customWidth="1"/>
  </cols>
  <sheetData>
    <row r="1" ht="32.1" customHeight="1" spans="1:11">
      <c r="A1" s="27" t="s">
        <v>29</v>
      </c>
      <c r="B1" s="27" t="s">
        <v>30</v>
      </c>
      <c r="C1" s="28" t="s">
        <v>31</v>
      </c>
      <c r="D1" s="29" t="s">
        <v>32</v>
      </c>
      <c r="E1" s="30" t="s">
        <v>33</v>
      </c>
      <c r="F1" s="29" t="s">
        <v>34</v>
      </c>
      <c r="G1" s="31" t="s">
        <v>2</v>
      </c>
      <c r="H1" s="31" t="s">
        <v>3</v>
      </c>
      <c r="I1" s="31" t="s">
        <v>4</v>
      </c>
      <c r="J1" s="32" t="s">
        <v>1</v>
      </c>
      <c r="K1" s="33" t="s">
        <v>35</v>
      </c>
    </row>
    <row r="2" customHeight="1" spans="1:11">
      <c r="A2" s="34" t="s">
        <v>36</v>
      </c>
      <c r="B2" s="16">
        <v>45663</v>
      </c>
      <c r="C2" s="13">
        <v>15894.33</v>
      </c>
      <c r="D2" s="19" t="s">
        <v>37</v>
      </c>
      <c r="E2" s="18" t="s">
        <v>38</v>
      </c>
      <c r="F2" s="9" t="s">
        <v>39</v>
      </c>
      <c r="G2" s="35" t="s">
        <v>22</v>
      </c>
      <c r="H2" s="35" t="s">
        <v>26</v>
      </c>
      <c r="I2" s="9" t="s">
        <v>28</v>
      </c>
      <c r="J2" s="9">
        <f t="shared" ref="J2:J65" si="0">MONTH(B2)</f>
        <v>1</v>
      </c>
      <c r="K2" s="36">
        <f t="shared" ref="K2:K65" si="1">ROUND(C2/10000,2)</f>
        <v>1.59</v>
      </c>
    </row>
    <row r="3" customHeight="1" spans="1:11">
      <c r="A3" s="34" t="s">
        <v>36</v>
      </c>
      <c r="B3" s="11">
        <v>45664</v>
      </c>
      <c r="C3" s="13">
        <v>10772.78</v>
      </c>
      <c r="D3" s="19" t="s">
        <v>40</v>
      </c>
      <c r="E3" s="18" t="s">
        <v>41</v>
      </c>
      <c r="F3" s="9" t="s">
        <v>39</v>
      </c>
      <c r="G3" s="35" t="s">
        <v>22</v>
      </c>
      <c r="H3" s="35" t="s">
        <v>26</v>
      </c>
      <c r="I3" s="9" t="s">
        <v>28</v>
      </c>
      <c r="J3" s="9">
        <f t="shared" si="0"/>
        <v>1</v>
      </c>
      <c r="K3" s="36">
        <f t="shared" si="1"/>
        <v>1.08</v>
      </c>
    </row>
    <row r="4" customHeight="1" spans="1:11">
      <c r="A4" s="34" t="s">
        <v>36</v>
      </c>
      <c r="B4" s="16">
        <v>45670</v>
      </c>
      <c r="C4" s="13">
        <v>2844.92</v>
      </c>
      <c r="D4" s="19" t="s">
        <v>42</v>
      </c>
      <c r="E4" s="18" t="s">
        <v>43</v>
      </c>
      <c r="F4" s="9" t="s">
        <v>39</v>
      </c>
      <c r="G4" s="35" t="s">
        <v>22</v>
      </c>
      <c r="H4" s="35" t="s">
        <v>26</v>
      </c>
      <c r="I4" s="9" t="s">
        <v>28</v>
      </c>
      <c r="J4" s="9">
        <f t="shared" si="0"/>
        <v>1</v>
      </c>
      <c r="K4" s="36">
        <f t="shared" si="1"/>
        <v>0.28</v>
      </c>
    </row>
    <row r="5" customHeight="1" spans="1:11">
      <c r="A5" s="34" t="s">
        <v>36</v>
      </c>
      <c r="B5" s="11">
        <v>45670</v>
      </c>
      <c r="C5" s="13">
        <v>7960.79</v>
      </c>
      <c r="D5" s="19" t="s">
        <v>44</v>
      </c>
      <c r="E5" s="18" t="s">
        <v>45</v>
      </c>
      <c r="F5" s="9" t="s">
        <v>39</v>
      </c>
      <c r="G5" s="35" t="s">
        <v>22</v>
      </c>
      <c r="H5" s="35" t="s">
        <v>26</v>
      </c>
      <c r="I5" s="9" t="s">
        <v>28</v>
      </c>
      <c r="J5" s="9">
        <f t="shared" si="0"/>
        <v>1</v>
      </c>
      <c r="K5" s="36">
        <f t="shared" si="1"/>
        <v>0.8</v>
      </c>
    </row>
    <row r="6" customHeight="1" spans="1:11">
      <c r="A6" s="34" t="s">
        <v>36</v>
      </c>
      <c r="B6" s="16">
        <v>45673</v>
      </c>
      <c r="C6" s="13">
        <v>26041.79</v>
      </c>
      <c r="D6" s="19" t="s">
        <v>46</v>
      </c>
      <c r="E6" s="18" t="s">
        <v>47</v>
      </c>
      <c r="F6" s="9" t="s">
        <v>39</v>
      </c>
      <c r="G6" s="35" t="s">
        <v>22</v>
      </c>
      <c r="H6" s="35" t="s">
        <v>23</v>
      </c>
      <c r="I6" s="9" t="s">
        <v>24</v>
      </c>
      <c r="J6" s="9">
        <f t="shared" si="0"/>
        <v>1</v>
      </c>
      <c r="K6" s="36">
        <f t="shared" si="1"/>
        <v>2.6</v>
      </c>
    </row>
    <row r="7" customHeight="1" spans="1:11">
      <c r="A7" s="34" t="s">
        <v>36</v>
      </c>
      <c r="B7" s="11">
        <v>45673</v>
      </c>
      <c r="C7" s="13">
        <v>34692.52</v>
      </c>
      <c r="D7" s="19" t="s">
        <v>48</v>
      </c>
      <c r="E7" s="18" t="s">
        <v>47</v>
      </c>
      <c r="F7" s="9" t="s">
        <v>39</v>
      </c>
      <c r="G7" s="35" t="s">
        <v>22</v>
      </c>
      <c r="H7" s="35" t="s">
        <v>23</v>
      </c>
      <c r="I7" s="9" t="s">
        <v>25</v>
      </c>
      <c r="J7" s="9">
        <f t="shared" si="0"/>
        <v>1</v>
      </c>
      <c r="K7" s="36">
        <f t="shared" si="1"/>
        <v>3.47</v>
      </c>
    </row>
    <row r="8" customHeight="1" spans="1:11">
      <c r="A8" s="34" t="s">
        <v>36</v>
      </c>
      <c r="B8" s="11">
        <v>45674</v>
      </c>
      <c r="C8" s="13">
        <v>4455.04</v>
      </c>
      <c r="D8" s="19" t="s">
        <v>49</v>
      </c>
      <c r="E8" s="18" t="s">
        <v>50</v>
      </c>
      <c r="F8" s="9" t="s">
        <v>39</v>
      </c>
      <c r="G8" s="35" t="s">
        <v>22</v>
      </c>
      <c r="H8" s="35" t="s">
        <v>26</v>
      </c>
      <c r="I8" s="9" t="s">
        <v>28</v>
      </c>
      <c r="J8" s="9">
        <f t="shared" si="0"/>
        <v>1</v>
      </c>
      <c r="K8" s="36">
        <f t="shared" si="1"/>
        <v>0.45</v>
      </c>
    </row>
    <row r="9" customHeight="1" spans="1:11">
      <c r="A9" s="34" t="s">
        <v>36</v>
      </c>
      <c r="B9" s="11">
        <v>45674</v>
      </c>
      <c r="C9" s="13">
        <v>38883.9</v>
      </c>
      <c r="D9" s="19" t="s">
        <v>51</v>
      </c>
      <c r="E9" s="18" t="s">
        <v>47</v>
      </c>
      <c r="F9" s="9" t="s">
        <v>39</v>
      </c>
      <c r="G9" s="35" t="s">
        <v>22</v>
      </c>
      <c r="H9" s="35" t="s">
        <v>23</v>
      </c>
      <c r="I9" s="9" t="s">
        <v>25</v>
      </c>
      <c r="J9" s="9">
        <f t="shared" si="0"/>
        <v>1</v>
      </c>
      <c r="K9" s="36">
        <f t="shared" si="1"/>
        <v>3.89</v>
      </c>
    </row>
    <row r="10" customHeight="1" spans="1:11">
      <c r="A10" s="34" t="s">
        <v>36</v>
      </c>
      <c r="B10" s="11">
        <v>45680</v>
      </c>
      <c r="C10" s="13">
        <v>38094.1</v>
      </c>
      <c r="D10" s="19" t="s">
        <v>52</v>
      </c>
      <c r="E10" s="18" t="s">
        <v>47</v>
      </c>
      <c r="F10" s="9" t="s">
        <v>39</v>
      </c>
      <c r="G10" s="35" t="s">
        <v>22</v>
      </c>
      <c r="H10" s="35" t="s">
        <v>23</v>
      </c>
      <c r="I10" s="9" t="s">
        <v>25</v>
      </c>
      <c r="J10" s="9">
        <f t="shared" si="0"/>
        <v>1</v>
      </c>
      <c r="K10" s="36">
        <f t="shared" si="1"/>
        <v>3.81</v>
      </c>
    </row>
    <row r="11" customHeight="1" spans="1:11">
      <c r="A11" s="34" t="s">
        <v>36</v>
      </c>
      <c r="B11" s="11">
        <v>45702</v>
      </c>
      <c r="C11" s="13">
        <v>27735.78</v>
      </c>
      <c r="D11" s="19" t="s">
        <v>53</v>
      </c>
      <c r="E11" s="18" t="s">
        <v>47</v>
      </c>
      <c r="F11" s="9" t="s">
        <v>39</v>
      </c>
      <c r="G11" s="35" t="s">
        <v>22</v>
      </c>
      <c r="H11" s="35" t="s">
        <v>23</v>
      </c>
      <c r="I11" s="9" t="s">
        <v>25</v>
      </c>
      <c r="J11" s="9">
        <f t="shared" si="0"/>
        <v>2</v>
      </c>
      <c r="K11" s="36">
        <f t="shared" si="1"/>
        <v>2.77</v>
      </c>
    </row>
    <row r="12" customHeight="1" spans="1:11">
      <c r="A12" s="34" t="s">
        <v>36</v>
      </c>
      <c r="B12" s="16">
        <v>45702</v>
      </c>
      <c r="C12" s="13">
        <v>18220.3</v>
      </c>
      <c r="D12" s="19" t="s">
        <v>54</v>
      </c>
      <c r="E12" s="18" t="s">
        <v>47</v>
      </c>
      <c r="F12" s="9" t="s">
        <v>39</v>
      </c>
      <c r="G12" s="35" t="s">
        <v>22</v>
      </c>
      <c r="H12" s="35" t="s">
        <v>23</v>
      </c>
      <c r="I12" s="9" t="s">
        <v>24</v>
      </c>
      <c r="J12" s="9">
        <f t="shared" si="0"/>
        <v>2</v>
      </c>
      <c r="K12" s="36">
        <f t="shared" si="1"/>
        <v>1.82</v>
      </c>
    </row>
    <row r="13" customHeight="1" spans="1:11">
      <c r="A13" s="34" t="s">
        <v>36</v>
      </c>
      <c r="B13" s="11">
        <v>45712</v>
      </c>
      <c r="C13" s="13">
        <v>619.93</v>
      </c>
      <c r="D13" s="19" t="s">
        <v>55</v>
      </c>
      <c r="E13" s="18" t="s">
        <v>47</v>
      </c>
      <c r="F13" s="9" t="s">
        <v>39</v>
      </c>
      <c r="G13" s="35" t="s">
        <v>22</v>
      </c>
      <c r="H13" s="35" t="s">
        <v>23</v>
      </c>
      <c r="I13" s="9" t="s">
        <v>25</v>
      </c>
      <c r="J13" s="9">
        <f t="shared" si="0"/>
        <v>2</v>
      </c>
      <c r="K13" s="36">
        <f t="shared" si="1"/>
        <v>0.06</v>
      </c>
    </row>
    <row r="14" customHeight="1" spans="1:11">
      <c r="A14" s="34" t="s">
        <v>36</v>
      </c>
      <c r="B14" s="11">
        <v>45723</v>
      </c>
      <c r="C14" s="13">
        <v>120741.74</v>
      </c>
      <c r="D14" s="19" t="s">
        <v>56</v>
      </c>
      <c r="E14" s="18" t="s">
        <v>47</v>
      </c>
      <c r="F14" s="9" t="s">
        <v>39</v>
      </c>
      <c r="G14" s="35" t="s">
        <v>22</v>
      </c>
      <c r="H14" s="35" t="s">
        <v>23</v>
      </c>
      <c r="I14" s="9" t="s">
        <v>24</v>
      </c>
      <c r="J14" s="9">
        <f t="shared" si="0"/>
        <v>3</v>
      </c>
      <c r="K14" s="36">
        <f t="shared" si="1"/>
        <v>12.07</v>
      </c>
    </row>
    <row r="15" customHeight="1" spans="1:11">
      <c r="A15" s="34" t="s">
        <v>36</v>
      </c>
      <c r="B15" s="11">
        <v>45723</v>
      </c>
      <c r="C15" s="13">
        <v>47567.09</v>
      </c>
      <c r="D15" s="19" t="s">
        <v>52</v>
      </c>
      <c r="E15" s="18" t="s">
        <v>47</v>
      </c>
      <c r="F15" s="9" t="s">
        <v>39</v>
      </c>
      <c r="G15" s="35" t="s">
        <v>22</v>
      </c>
      <c r="H15" s="35" t="s">
        <v>23</v>
      </c>
      <c r="I15" s="9" t="s">
        <v>25</v>
      </c>
      <c r="J15" s="9">
        <f t="shared" si="0"/>
        <v>3</v>
      </c>
      <c r="K15" s="36">
        <f t="shared" si="1"/>
        <v>4.76</v>
      </c>
    </row>
    <row r="16" customHeight="1" spans="1:11">
      <c r="A16" s="34" t="s">
        <v>36</v>
      </c>
      <c r="B16" s="11">
        <v>45727</v>
      </c>
      <c r="C16" s="13">
        <v>2.51</v>
      </c>
      <c r="D16" s="19" t="s">
        <v>44</v>
      </c>
      <c r="E16" s="18" t="s">
        <v>57</v>
      </c>
      <c r="F16" s="9" t="s">
        <v>39</v>
      </c>
      <c r="G16" s="35" t="s">
        <v>22</v>
      </c>
      <c r="H16" s="35" t="s">
        <v>26</v>
      </c>
      <c r="I16" s="9" t="s">
        <v>28</v>
      </c>
      <c r="J16" s="9">
        <f t="shared" si="0"/>
        <v>3</v>
      </c>
      <c r="K16" s="36">
        <f t="shared" si="1"/>
        <v>0</v>
      </c>
    </row>
    <row r="17" customHeight="1" spans="1:11">
      <c r="A17" s="34" t="s">
        <v>36</v>
      </c>
      <c r="B17" s="11">
        <v>45730</v>
      </c>
      <c r="C17" s="13">
        <v>271305.19</v>
      </c>
      <c r="D17" s="19" t="s">
        <v>58</v>
      </c>
      <c r="E17" s="18" t="s">
        <v>47</v>
      </c>
      <c r="F17" s="9" t="s">
        <v>39</v>
      </c>
      <c r="G17" s="35" t="s">
        <v>22</v>
      </c>
      <c r="H17" s="35" t="s">
        <v>23</v>
      </c>
      <c r="I17" s="9" t="s">
        <v>25</v>
      </c>
      <c r="J17" s="9">
        <f t="shared" si="0"/>
        <v>3</v>
      </c>
      <c r="K17" s="36">
        <f t="shared" si="1"/>
        <v>27.13</v>
      </c>
    </row>
    <row r="18" customHeight="1" spans="1:11">
      <c r="A18" s="34" t="s">
        <v>36</v>
      </c>
      <c r="B18" s="11">
        <v>45730</v>
      </c>
      <c r="C18" s="13">
        <v>1970739.27</v>
      </c>
      <c r="D18" s="19" t="s">
        <v>58</v>
      </c>
      <c r="E18" s="18" t="s">
        <v>47</v>
      </c>
      <c r="F18" s="9" t="s">
        <v>39</v>
      </c>
      <c r="G18" s="35" t="s">
        <v>22</v>
      </c>
      <c r="H18" s="35" t="s">
        <v>23</v>
      </c>
      <c r="I18" s="9" t="s">
        <v>24</v>
      </c>
      <c r="J18" s="9">
        <f t="shared" si="0"/>
        <v>3</v>
      </c>
      <c r="K18" s="36">
        <f t="shared" si="1"/>
        <v>197.07</v>
      </c>
    </row>
    <row r="19" customHeight="1" spans="1:11">
      <c r="A19" s="34" t="s">
        <v>36</v>
      </c>
      <c r="B19" s="11">
        <v>45730</v>
      </c>
      <c r="C19" s="13">
        <v>178479.35</v>
      </c>
      <c r="D19" s="19" t="s">
        <v>59</v>
      </c>
      <c r="E19" s="18" t="s">
        <v>47</v>
      </c>
      <c r="F19" s="9" t="s">
        <v>39</v>
      </c>
      <c r="G19" s="35" t="s">
        <v>22</v>
      </c>
      <c r="H19" s="35" t="s">
        <v>23</v>
      </c>
      <c r="I19" s="9" t="s">
        <v>25</v>
      </c>
      <c r="J19" s="9">
        <f t="shared" si="0"/>
        <v>3</v>
      </c>
      <c r="K19" s="36">
        <f t="shared" si="1"/>
        <v>17.85</v>
      </c>
    </row>
    <row r="20" customHeight="1" spans="1:11">
      <c r="A20" s="34" t="s">
        <v>36</v>
      </c>
      <c r="B20" s="16">
        <v>45730</v>
      </c>
      <c r="C20" s="13">
        <v>1387918.57</v>
      </c>
      <c r="D20" s="19" t="s">
        <v>60</v>
      </c>
      <c r="E20" s="18" t="s">
        <v>47</v>
      </c>
      <c r="F20" s="9" t="s">
        <v>39</v>
      </c>
      <c r="G20" s="35" t="s">
        <v>22</v>
      </c>
      <c r="H20" s="35" t="s">
        <v>23</v>
      </c>
      <c r="I20" s="9" t="s">
        <v>24</v>
      </c>
      <c r="J20" s="9">
        <f t="shared" si="0"/>
        <v>3</v>
      </c>
      <c r="K20" s="36">
        <f t="shared" si="1"/>
        <v>138.79</v>
      </c>
    </row>
    <row r="21" customHeight="1" spans="1:11">
      <c r="A21" s="34" t="s">
        <v>36</v>
      </c>
      <c r="B21" s="11">
        <v>45734</v>
      </c>
      <c r="C21" s="13">
        <v>3300.31</v>
      </c>
      <c r="D21" s="19" t="s">
        <v>61</v>
      </c>
      <c r="E21" s="18" t="s">
        <v>47</v>
      </c>
      <c r="F21" s="9" t="s">
        <v>39</v>
      </c>
      <c r="G21" s="35" t="s">
        <v>22</v>
      </c>
      <c r="H21" s="35" t="s">
        <v>23</v>
      </c>
      <c r="I21" s="9" t="s">
        <v>25</v>
      </c>
      <c r="J21" s="9">
        <f t="shared" si="0"/>
        <v>3</v>
      </c>
      <c r="K21" s="36">
        <f t="shared" si="1"/>
        <v>0.33</v>
      </c>
    </row>
    <row r="22" customHeight="1" spans="1:11">
      <c r="A22" s="34" t="s">
        <v>36</v>
      </c>
      <c r="B22" s="16">
        <v>45734</v>
      </c>
      <c r="C22" s="13">
        <v>13601.29</v>
      </c>
      <c r="D22" s="19" t="s">
        <v>55</v>
      </c>
      <c r="E22" s="18" t="s">
        <v>47</v>
      </c>
      <c r="F22" s="9" t="s">
        <v>39</v>
      </c>
      <c r="G22" s="35" t="s">
        <v>22</v>
      </c>
      <c r="H22" s="35" t="s">
        <v>23</v>
      </c>
      <c r="I22" s="9" t="s">
        <v>25</v>
      </c>
      <c r="J22" s="9">
        <f t="shared" si="0"/>
        <v>3</v>
      </c>
      <c r="K22" s="36">
        <f t="shared" si="1"/>
        <v>1.36</v>
      </c>
    </row>
    <row r="23" customHeight="1" spans="1:11">
      <c r="A23" s="34" t="s">
        <v>36</v>
      </c>
      <c r="B23" s="16">
        <v>45740</v>
      </c>
      <c r="C23" s="13">
        <v>69667.88</v>
      </c>
      <c r="D23" s="19" t="s">
        <v>62</v>
      </c>
      <c r="E23" s="18" t="s">
        <v>63</v>
      </c>
      <c r="F23" s="9" t="s">
        <v>39</v>
      </c>
      <c r="G23" s="35" t="s">
        <v>22</v>
      </c>
      <c r="H23" s="35" t="s">
        <v>23</v>
      </c>
      <c r="I23" s="9" t="s">
        <v>25</v>
      </c>
      <c r="J23" s="9">
        <f t="shared" si="0"/>
        <v>3</v>
      </c>
      <c r="K23" s="36">
        <f t="shared" si="1"/>
        <v>6.97</v>
      </c>
    </row>
    <row r="24" customHeight="1" spans="1:11">
      <c r="A24" s="34" t="s">
        <v>36</v>
      </c>
      <c r="B24" s="11">
        <v>45743</v>
      </c>
      <c r="C24" s="13">
        <v>153461.1</v>
      </c>
      <c r="D24" s="19" t="s">
        <v>64</v>
      </c>
      <c r="E24" s="18" t="s">
        <v>65</v>
      </c>
      <c r="F24" s="9" t="s">
        <v>39</v>
      </c>
      <c r="G24" s="35" t="s">
        <v>22</v>
      </c>
      <c r="H24" s="35" t="s">
        <v>23</v>
      </c>
      <c r="I24" s="9" t="s">
        <v>25</v>
      </c>
      <c r="J24" s="9">
        <f t="shared" si="0"/>
        <v>3</v>
      </c>
      <c r="K24" s="36">
        <f t="shared" si="1"/>
        <v>15.35</v>
      </c>
    </row>
    <row r="25" customHeight="1" spans="1:11">
      <c r="A25" s="34" t="s">
        <v>36</v>
      </c>
      <c r="B25" s="11">
        <v>45744</v>
      </c>
      <c r="C25" s="13">
        <v>1298563.48</v>
      </c>
      <c r="D25" s="19" t="s">
        <v>56</v>
      </c>
      <c r="E25" s="18" t="s">
        <v>47</v>
      </c>
      <c r="F25" s="9" t="s">
        <v>39</v>
      </c>
      <c r="G25" s="35" t="s">
        <v>22</v>
      </c>
      <c r="H25" s="35" t="s">
        <v>23</v>
      </c>
      <c r="I25" s="9" t="s">
        <v>24</v>
      </c>
      <c r="J25" s="9">
        <f t="shared" si="0"/>
        <v>3</v>
      </c>
      <c r="K25" s="36">
        <f t="shared" si="1"/>
        <v>129.86</v>
      </c>
    </row>
    <row r="26" customHeight="1" spans="1:11">
      <c r="A26" s="34" t="s">
        <v>36</v>
      </c>
      <c r="B26" s="16">
        <v>45744</v>
      </c>
      <c r="C26" s="13">
        <v>38301.57</v>
      </c>
      <c r="D26" s="19" t="s">
        <v>52</v>
      </c>
      <c r="E26" s="18" t="s">
        <v>47</v>
      </c>
      <c r="F26" s="9" t="s">
        <v>39</v>
      </c>
      <c r="G26" s="35" t="s">
        <v>22</v>
      </c>
      <c r="H26" s="35" t="s">
        <v>23</v>
      </c>
      <c r="I26" s="9" t="s">
        <v>25</v>
      </c>
      <c r="J26" s="9">
        <f t="shared" si="0"/>
        <v>3</v>
      </c>
      <c r="K26" s="36">
        <f t="shared" si="1"/>
        <v>3.83</v>
      </c>
    </row>
    <row r="27" customHeight="1" spans="1:11">
      <c r="A27" s="34" t="s">
        <v>36</v>
      </c>
      <c r="B27" s="11">
        <v>45754</v>
      </c>
      <c r="C27" s="13">
        <v>14721.91</v>
      </c>
      <c r="D27" s="19" t="s">
        <v>37</v>
      </c>
      <c r="E27" s="18" t="s">
        <v>38</v>
      </c>
      <c r="F27" s="9" t="s">
        <v>39</v>
      </c>
      <c r="G27" s="35" t="s">
        <v>22</v>
      </c>
      <c r="H27" s="35" t="s">
        <v>26</v>
      </c>
      <c r="I27" s="9" t="s">
        <v>28</v>
      </c>
      <c r="J27" s="9">
        <f t="shared" si="0"/>
        <v>4</v>
      </c>
      <c r="K27" s="36">
        <f t="shared" si="1"/>
        <v>1.47</v>
      </c>
    </row>
    <row r="28" customHeight="1" spans="1:11">
      <c r="A28" s="34" t="s">
        <v>36</v>
      </c>
      <c r="B28" s="11">
        <v>45756</v>
      </c>
      <c r="C28" s="13">
        <v>4609.24</v>
      </c>
      <c r="D28" s="19" t="s">
        <v>66</v>
      </c>
      <c r="E28" s="18" t="s">
        <v>67</v>
      </c>
      <c r="F28" s="9" t="s">
        <v>39</v>
      </c>
      <c r="G28" s="35" t="s">
        <v>22</v>
      </c>
      <c r="H28" s="35" t="s">
        <v>26</v>
      </c>
      <c r="I28" s="9" t="s">
        <v>28</v>
      </c>
      <c r="J28" s="9">
        <f t="shared" si="0"/>
        <v>4</v>
      </c>
      <c r="K28" s="36">
        <f t="shared" si="1"/>
        <v>0.46</v>
      </c>
    </row>
    <row r="29" customHeight="1" spans="1:11">
      <c r="A29" s="34" t="s">
        <v>36</v>
      </c>
      <c r="B29" s="11">
        <v>45756</v>
      </c>
      <c r="C29" s="13">
        <v>23293.53</v>
      </c>
      <c r="D29" s="19" t="s">
        <v>44</v>
      </c>
      <c r="E29" s="18" t="s">
        <v>45</v>
      </c>
      <c r="F29" s="9" t="s">
        <v>39</v>
      </c>
      <c r="G29" s="35" t="s">
        <v>22</v>
      </c>
      <c r="H29" s="35" t="s">
        <v>26</v>
      </c>
      <c r="I29" s="9" t="s">
        <v>28</v>
      </c>
      <c r="J29" s="9">
        <f t="shared" si="0"/>
        <v>4</v>
      </c>
      <c r="K29" s="36">
        <f t="shared" si="1"/>
        <v>2.33</v>
      </c>
    </row>
    <row r="30" customHeight="1" spans="1:11">
      <c r="A30" s="34" t="s">
        <v>36</v>
      </c>
      <c r="B30" s="11">
        <v>45757</v>
      </c>
      <c r="C30" s="13">
        <v>25830.57</v>
      </c>
      <c r="D30" s="19" t="s">
        <v>42</v>
      </c>
      <c r="E30" s="18" t="s">
        <v>43</v>
      </c>
      <c r="F30" s="9" t="s">
        <v>39</v>
      </c>
      <c r="G30" s="35" t="s">
        <v>22</v>
      </c>
      <c r="H30" s="35" t="s">
        <v>26</v>
      </c>
      <c r="I30" s="9" t="s">
        <v>28</v>
      </c>
      <c r="J30" s="9">
        <f t="shared" si="0"/>
        <v>4</v>
      </c>
      <c r="K30" s="36">
        <f t="shared" si="1"/>
        <v>2.58</v>
      </c>
    </row>
    <row r="31" customHeight="1" spans="1:11">
      <c r="A31" s="34" t="s">
        <v>36</v>
      </c>
      <c r="B31" s="11">
        <v>45757</v>
      </c>
      <c r="C31" s="13">
        <v>4450.35</v>
      </c>
      <c r="D31" s="19" t="s">
        <v>68</v>
      </c>
      <c r="E31" s="18" t="s">
        <v>69</v>
      </c>
      <c r="F31" s="9" t="s">
        <v>39</v>
      </c>
      <c r="G31" s="35" t="s">
        <v>22</v>
      </c>
      <c r="H31" s="35" t="s">
        <v>26</v>
      </c>
      <c r="I31" s="9" t="s">
        <v>28</v>
      </c>
      <c r="J31" s="9">
        <f t="shared" si="0"/>
        <v>4</v>
      </c>
      <c r="K31" s="36">
        <f t="shared" si="1"/>
        <v>0.45</v>
      </c>
    </row>
    <row r="32" customHeight="1" spans="1:11">
      <c r="A32" s="34" t="s">
        <v>36</v>
      </c>
      <c r="B32" s="16">
        <v>45762</v>
      </c>
      <c r="C32" s="13">
        <v>11360.98</v>
      </c>
      <c r="D32" s="19" t="s">
        <v>40</v>
      </c>
      <c r="E32" s="18" t="s">
        <v>70</v>
      </c>
      <c r="F32" s="9" t="s">
        <v>39</v>
      </c>
      <c r="G32" s="35" t="s">
        <v>22</v>
      </c>
      <c r="H32" s="35" t="s">
        <v>26</v>
      </c>
      <c r="I32" s="9" t="s">
        <v>28</v>
      </c>
      <c r="J32" s="9">
        <f t="shared" si="0"/>
        <v>4</v>
      </c>
      <c r="K32" s="36">
        <f t="shared" si="1"/>
        <v>1.14</v>
      </c>
    </row>
    <row r="33" customHeight="1" spans="1:11">
      <c r="A33" s="34" t="s">
        <v>36</v>
      </c>
      <c r="B33" s="11">
        <v>45763</v>
      </c>
      <c r="C33" s="13">
        <v>34688.1</v>
      </c>
      <c r="D33" s="19" t="s">
        <v>48</v>
      </c>
      <c r="E33" s="18" t="s">
        <v>47</v>
      </c>
      <c r="F33" s="9" t="s">
        <v>39</v>
      </c>
      <c r="G33" s="35" t="s">
        <v>22</v>
      </c>
      <c r="H33" s="35" t="s">
        <v>23</v>
      </c>
      <c r="I33" s="9" t="s">
        <v>25</v>
      </c>
      <c r="J33" s="9">
        <f t="shared" si="0"/>
        <v>4</v>
      </c>
      <c r="K33" s="36">
        <f t="shared" si="1"/>
        <v>3.47</v>
      </c>
    </row>
    <row r="34" customHeight="1" spans="1:11">
      <c r="A34" s="34" t="s">
        <v>36</v>
      </c>
      <c r="B34" s="11">
        <v>45763</v>
      </c>
      <c r="C34" s="13">
        <v>295884.13</v>
      </c>
      <c r="D34" s="19" t="s">
        <v>46</v>
      </c>
      <c r="E34" s="18" t="s">
        <v>47</v>
      </c>
      <c r="F34" s="9" t="s">
        <v>39</v>
      </c>
      <c r="G34" s="35" t="s">
        <v>22</v>
      </c>
      <c r="H34" s="35" t="s">
        <v>23</v>
      </c>
      <c r="I34" s="9" t="s">
        <v>24</v>
      </c>
      <c r="J34" s="9">
        <f t="shared" si="0"/>
        <v>4</v>
      </c>
      <c r="K34" s="36">
        <f t="shared" si="1"/>
        <v>29.59</v>
      </c>
    </row>
    <row r="35" customHeight="1" spans="1:11">
      <c r="A35" s="34" t="s">
        <v>36</v>
      </c>
      <c r="B35" s="11">
        <v>45765</v>
      </c>
      <c r="C35" s="13">
        <v>9933.01</v>
      </c>
      <c r="D35" s="19" t="s">
        <v>71</v>
      </c>
      <c r="E35" s="18" t="s">
        <v>72</v>
      </c>
      <c r="F35" s="9" t="s">
        <v>39</v>
      </c>
      <c r="G35" s="35" t="s">
        <v>22</v>
      </c>
      <c r="H35" s="35" t="s">
        <v>23</v>
      </c>
      <c r="I35" s="9" t="s">
        <v>25</v>
      </c>
      <c r="J35" s="9">
        <f t="shared" si="0"/>
        <v>4</v>
      </c>
      <c r="K35" s="36">
        <f t="shared" si="1"/>
        <v>0.99</v>
      </c>
    </row>
    <row r="36" customHeight="1" spans="1:11">
      <c r="A36" s="34" t="s">
        <v>36</v>
      </c>
      <c r="B36" s="11">
        <v>45770</v>
      </c>
      <c r="C36" s="13">
        <v>37606.93</v>
      </c>
      <c r="D36" s="19" t="s">
        <v>52</v>
      </c>
      <c r="E36" s="18" t="s">
        <v>47</v>
      </c>
      <c r="F36" s="9" t="s">
        <v>39</v>
      </c>
      <c r="G36" s="35" t="s">
        <v>22</v>
      </c>
      <c r="H36" s="35" t="s">
        <v>23</v>
      </c>
      <c r="I36" s="9" t="s">
        <v>25</v>
      </c>
      <c r="J36" s="9">
        <f t="shared" si="0"/>
        <v>4</v>
      </c>
      <c r="K36" s="36">
        <f t="shared" si="1"/>
        <v>3.76</v>
      </c>
    </row>
    <row r="37" customHeight="1" spans="1:11">
      <c r="A37" s="34" t="s">
        <v>36</v>
      </c>
      <c r="B37" s="11">
        <v>45770</v>
      </c>
      <c r="C37" s="13">
        <v>28573.39</v>
      </c>
      <c r="D37" s="19" t="s">
        <v>51</v>
      </c>
      <c r="E37" s="18" t="s">
        <v>47</v>
      </c>
      <c r="F37" s="9" t="s">
        <v>39</v>
      </c>
      <c r="G37" s="35" t="s">
        <v>22</v>
      </c>
      <c r="H37" s="35" t="s">
        <v>23</v>
      </c>
      <c r="I37" s="9" t="s">
        <v>25</v>
      </c>
      <c r="J37" s="9">
        <f t="shared" si="0"/>
        <v>4</v>
      </c>
      <c r="K37" s="36">
        <f t="shared" si="1"/>
        <v>2.86</v>
      </c>
    </row>
    <row r="38" customHeight="1" spans="1:11">
      <c r="A38" s="34" t="s">
        <v>36</v>
      </c>
      <c r="B38" s="11">
        <v>45786</v>
      </c>
      <c r="C38" s="13">
        <v>307264.02</v>
      </c>
      <c r="D38" s="19" t="s">
        <v>73</v>
      </c>
      <c r="E38" s="18" t="s">
        <v>47</v>
      </c>
      <c r="F38" s="9" t="s">
        <v>39</v>
      </c>
      <c r="G38" s="35" t="s">
        <v>22</v>
      </c>
      <c r="H38" s="35" t="s">
        <v>23</v>
      </c>
      <c r="I38" s="9" t="s">
        <v>24</v>
      </c>
      <c r="J38" s="9">
        <f t="shared" si="0"/>
        <v>5</v>
      </c>
      <c r="K38" s="36">
        <f t="shared" si="1"/>
        <v>30.73</v>
      </c>
    </row>
    <row r="39" customHeight="1" spans="1:11">
      <c r="A39" s="34" t="s">
        <v>36</v>
      </c>
      <c r="B39" s="16">
        <v>45793</v>
      </c>
      <c r="C39" s="13">
        <v>28738.94</v>
      </c>
      <c r="D39" s="19" t="s">
        <v>53</v>
      </c>
      <c r="E39" s="18" t="s">
        <v>47</v>
      </c>
      <c r="F39" s="9" t="s">
        <v>39</v>
      </c>
      <c r="G39" s="35" t="s">
        <v>22</v>
      </c>
      <c r="H39" s="35" t="s">
        <v>23</v>
      </c>
      <c r="I39" s="9" t="s">
        <v>25</v>
      </c>
      <c r="J39" s="9">
        <f t="shared" si="0"/>
        <v>5</v>
      </c>
      <c r="K39" s="36">
        <f t="shared" si="1"/>
        <v>2.87</v>
      </c>
    </row>
    <row r="40" customHeight="1" spans="1:11">
      <c r="A40" s="34" t="s">
        <v>36</v>
      </c>
      <c r="B40" s="11">
        <v>45793</v>
      </c>
      <c r="C40" s="13">
        <v>114440.61</v>
      </c>
      <c r="D40" s="19" t="s">
        <v>54</v>
      </c>
      <c r="E40" s="18" t="s">
        <v>47</v>
      </c>
      <c r="F40" s="9" t="s">
        <v>39</v>
      </c>
      <c r="G40" s="35" t="s">
        <v>22</v>
      </c>
      <c r="H40" s="35" t="s">
        <v>23</v>
      </c>
      <c r="I40" s="9" t="s">
        <v>24</v>
      </c>
      <c r="J40" s="9">
        <f t="shared" si="0"/>
        <v>5</v>
      </c>
      <c r="K40" s="36">
        <f t="shared" si="1"/>
        <v>11.44</v>
      </c>
    </row>
    <row r="41" customHeight="1" spans="1:11">
      <c r="A41" s="34" t="s">
        <v>36</v>
      </c>
      <c r="B41" s="11">
        <v>45798</v>
      </c>
      <c r="C41" s="13">
        <v>37464.93</v>
      </c>
      <c r="D41" s="19" t="s">
        <v>52</v>
      </c>
      <c r="E41" s="18" t="s">
        <v>47</v>
      </c>
      <c r="F41" s="9" t="s">
        <v>39</v>
      </c>
      <c r="G41" s="35" t="s">
        <v>22</v>
      </c>
      <c r="H41" s="35" t="s">
        <v>23</v>
      </c>
      <c r="I41" s="9" t="s">
        <v>25</v>
      </c>
      <c r="J41" s="9">
        <f t="shared" si="0"/>
        <v>5</v>
      </c>
      <c r="K41" s="36">
        <f t="shared" si="1"/>
        <v>3.75</v>
      </c>
    </row>
    <row r="42" customHeight="1" spans="1:11">
      <c r="A42" s="34" t="s">
        <v>36</v>
      </c>
      <c r="B42" s="16">
        <v>45798</v>
      </c>
      <c r="C42" s="13">
        <v>894304.12</v>
      </c>
      <c r="D42" s="19" t="s">
        <v>56</v>
      </c>
      <c r="E42" s="18" t="s">
        <v>47</v>
      </c>
      <c r="F42" s="9" t="s">
        <v>39</v>
      </c>
      <c r="G42" s="35" t="s">
        <v>22</v>
      </c>
      <c r="H42" s="35" t="s">
        <v>23</v>
      </c>
      <c r="I42" s="9" t="s">
        <v>24</v>
      </c>
      <c r="J42" s="9">
        <f t="shared" si="0"/>
        <v>5</v>
      </c>
      <c r="K42" s="36">
        <f t="shared" si="1"/>
        <v>89.43</v>
      </c>
    </row>
    <row r="43" customHeight="1" spans="1:11">
      <c r="A43" s="34" t="s">
        <v>36</v>
      </c>
      <c r="B43" s="11">
        <v>45825</v>
      </c>
      <c r="C43" s="13">
        <v>187171.69</v>
      </c>
      <c r="D43" s="19" t="s">
        <v>59</v>
      </c>
      <c r="E43" s="18" t="s">
        <v>47</v>
      </c>
      <c r="F43" s="9" t="s">
        <v>39</v>
      </c>
      <c r="G43" s="35" t="s">
        <v>22</v>
      </c>
      <c r="H43" s="35" t="s">
        <v>23</v>
      </c>
      <c r="I43" s="9" t="s">
        <v>25</v>
      </c>
      <c r="J43" s="9">
        <f t="shared" si="0"/>
        <v>6</v>
      </c>
      <c r="K43" s="36">
        <f t="shared" si="1"/>
        <v>18.72</v>
      </c>
    </row>
    <row r="44" customHeight="1" spans="1:11">
      <c r="A44" s="34" t="s">
        <v>36</v>
      </c>
      <c r="B44" s="11">
        <v>45825</v>
      </c>
      <c r="C44" s="13">
        <v>810916.73</v>
      </c>
      <c r="D44" s="19" t="s">
        <v>60</v>
      </c>
      <c r="E44" s="18" t="s">
        <v>47</v>
      </c>
      <c r="F44" s="9" t="s">
        <v>39</v>
      </c>
      <c r="G44" s="35" t="s">
        <v>22</v>
      </c>
      <c r="H44" s="35" t="s">
        <v>23</v>
      </c>
      <c r="I44" s="9" t="s">
        <v>24</v>
      </c>
      <c r="J44" s="9">
        <f t="shared" si="0"/>
        <v>6</v>
      </c>
      <c r="K44" s="36">
        <f t="shared" si="1"/>
        <v>81.09</v>
      </c>
    </row>
    <row r="45" customHeight="1" spans="1:11">
      <c r="A45" s="34" t="s">
        <v>36</v>
      </c>
      <c r="B45" s="11">
        <v>45827</v>
      </c>
      <c r="C45" s="13">
        <v>3429.06</v>
      </c>
      <c r="D45" s="19" t="s">
        <v>61</v>
      </c>
      <c r="E45" s="18" t="s">
        <v>47</v>
      </c>
      <c r="F45" s="9" t="s">
        <v>39</v>
      </c>
      <c r="G45" s="35" t="s">
        <v>22</v>
      </c>
      <c r="H45" s="35" t="s">
        <v>23</v>
      </c>
      <c r="I45" s="9" t="s">
        <v>25</v>
      </c>
      <c r="J45" s="9">
        <f t="shared" si="0"/>
        <v>6</v>
      </c>
      <c r="K45" s="36">
        <f t="shared" si="1"/>
        <v>0.34</v>
      </c>
    </row>
    <row r="46" customHeight="1" spans="1:11">
      <c r="A46" s="34" t="s">
        <v>36</v>
      </c>
      <c r="B46" s="11">
        <v>45827</v>
      </c>
      <c r="C46" s="13">
        <v>302119.98</v>
      </c>
      <c r="D46" s="19" t="s">
        <v>58</v>
      </c>
      <c r="E46" s="18" t="s">
        <v>47</v>
      </c>
      <c r="F46" s="9" t="s">
        <v>39</v>
      </c>
      <c r="G46" s="35" t="s">
        <v>22</v>
      </c>
      <c r="H46" s="35" t="s">
        <v>23</v>
      </c>
      <c r="I46" s="9" t="s">
        <v>25</v>
      </c>
      <c r="J46" s="9">
        <f t="shared" si="0"/>
        <v>6</v>
      </c>
      <c r="K46" s="36">
        <f t="shared" si="1"/>
        <v>30.21</v>
      </c>
    </row>
    <row r="47" customHeight="1" spans="1:11">
      <c r="A47" s="34" t="s">
        <v>36</v>
      </c>
      <c r="B47" s="11">
        <v>45827</v>
      </c>
      <c r="C47" s="13">
        <v>1195169.76</v>
      </c>
      <c r="D47" s="19" t="s">
        <v>58</v>
      </c>
      <c r="E47" s="18" t="s">
        <v>47</v>
      </c>
      <c r="F47" s="9" t="s">
        <v>39</v>
      </c>
      <c r="G47" s="35" t="s">
        <v>22</v>
      </c>
      <c r="H47" s="35" t="s">
        <v>23</v>
      </c>
      <c r="I47" s="9" t="s">
        <v>24</v>
      </c>
      <c r="J47" s="9">
        <f t="shared" si="0"/>
        <v>6</v>
      </c>
      <c r="K47" s="36">
        <f t="shared" si="1"/>
        <v>119.52</v>
      </c>
    </row>
    <row r="48" customHeight="1" spans="1:11">
      <c r="A48" s="34" t="s">
        <v>36</v>
      </c>
      <c r="B48" s="11">
        <v>45831</v>
      </c>
      <c r="C48" s="13">
        <v>71997.51</v>
      </c>
      <c r="D48" s="19" t="s">
        <v>62</v>
      </c>
      <c r="E48" s="18" t="s">
        <v>63</v>
      </c>
      <c r="F48" s="9" t="s">
        <v>39</v>
      </c>
      <c r="G48" s="35" t="s">
        <v>22</v>
      </c>
      <c r="H48" s="35" t="s">
        <v>23</v>
      </c>
      <c r="I48" s="9" t="s">
        <v>25</v>
      </c>
      <c r="J48" s="9">
        <f t="shared" si="0"/>
        <v>6</v>
      </c>
      <c r="K48" s="36">
        <f t="shared" si="1"/>
        <v>7.2</v>
      </c>
    </row>
    <row r="49" customHeight="1" spans="1:11">
      <c r="A49" s="34" t="s">
        <v>36</v>
      </c>
      <c r="B49" s="11">
        <v>45834</v>
      </c>
      <c r="C49" s="13">
        <v>202.48</v>
      </c>
      <c r="D49" s="19" t="s">
        <v>74</v>
      </c>
      <c r="E49" s="18" t="s">
        <v>47</v>
      </c>
      <c r="F49" s="9" t="s">
        <v>39</v>
      </c>
      <c r="G49" s="35" t="s">
        <v>22</v>
      </c>
      <c r="H49" s="35" t="s">
        <v>23</v>
      </c>
      <c r="I49" s="9" t="s">
        <v>24</v>
      </c>
      <c r="J49" s="9">
        <f t="shared" si="0"/>
        <v>6</v>
      </c>
      <c r="K49" s="36">
        <f t="shared" si="1"/>
        <v>0.02</v>
      </c>
    </row>
    <row r="50" customHeight="1" spans="1:11">
      <c r="A50" s="34" t="s">
        <v>36</v>
      </c>
      <c r="B50" s="11">
        <v>45834</v>
      </c>
      <c r="C50" s="13">
        <v>872.22</v>
      </c>
      <c r="D50" s="19" t="s">
        <v>40</v>
      </c>
      <c r="E50" s="18" t="s">
        <v>57</v>
      </c>
      <c r="F50" s="9" t="s">
        <v>39</v>
      </c>
      <c r="G50" s="35" t="s">
        <v>22</v>
      </c>
      <c r="H50" s="35" t="s">
        <v>26</v>
      </c>
      <c r="I50" s="9" t="s">
        <v>28</v>
      </c>
      <c r="J50" s="9">
        <f t="shared" si="0"/>
        <v>6</v>
      </c>
      <c r="K50" s="36">
        <f t="shared" si="1"/>
        <v>0.09</v>
      </c>
    </row>
    <row r="51" customHeight="1" spans="1:11">
      <c r="A51" s="34" t="s">
        <v>36</v>
      </c>
      <c r="B51" s="11">
        <v>45835</v>
      </c>
      <c r="C51" s="13">
        <v>112350.2</v>
      </c>
      <c r="D51" s="19" t="s">
        <v>64</v>
      </c>
      <c r="E51" s="18" t="s">
        <v>65</v>
      </c>
      <c r="F51" s="9" t="s">
        <v>39</v>
      </c>
      <c r="G51" s="35" t="s">
        <v>22</v>
      </c>
      <c r="H51" s="35" t="s">
        <v>23</v>
      </c>
      <c r="I51" s="9" t="s">
        <v>25</v>
      </c>
      <c r="J51" s="9">
        <f t="shared" si="0"/>
        <v>6</v>
      </c>
      <c r="K51" s="36">
        <f t="shared" si="1"/>
        <v>11.24</v>
      </c>
    </row>
    <row r="52" customHeight="1" spans="1:11">
      <c r="A52" s="34" t="s">
        <v>36</v>
      </c>
      <c r="B52" s="11">
        <v>45841</v>
      </c>
      <c r="C52" s="13">
        <v>12670.31</v>
      </c>
      <c r="D52" s="19" t="s">
        <v>37</v>
      </c>
      <c r="E52" s="18" t="s">
        <v>38</v>
      </c>
      <c r="F52" s="9" t="s">
        <v>39</v>
      </c>
      <c r="G52" s="35" t="s">
        <v>22</v>
      </c>
      <c r="H52" s="35" t="s">
        <v>26</v>
      </c>
      <c r="I52" s="9" t="s">
        <v>28</v>
      </c>
      <c r="J52" s="9">
        <f t="shared" si="0"/>
        <v>7</v>
      </c>
      <c r="K52" s="36">
        <f t="shared" si="1"/>
        <v>1.27</v>
      </c>
    </row>
    <row r="53" customHeight="1" spans="1:11">
      <c r="A53" s="34" t="s">
        <v>36</v>
      </c>
      <c r="B53" s="11">
        <v>45847</v>
      </c>
      <c r="C53" s="13">
        <v>23141.89</v>
      </c>
      <c r="D53" s="19" t="s">
        <v>66</v>
      </c>
      <c r="E53" s="18" t="s">
        <v>67</v>
      </c>
      <c r="F53" s="9" t="s">
        <v>39</v>
      </c>
      <c r="G53" s="35" t="s">
        <v>22</v>
      </c>
      <c r="H53" s="35" t="s">
        <v>26</v>
      </c>
      <c r="I53" s="9" t="s">
        <v>28</v>
      </c>
      <c r="J53" s="9">
        <f t="shared" si="0"/>
        <v>7</v>
      </c>
      <c r="K53" s="36">
        <f t="shared" si="1"/>
        <v>2.31</v>
      </c>
    </row>
    <row r="54" customHeight="1" spans="1:11">
      <c r="A54" s="34" t="s">
        <v>36</v>
      </c>
      <c r="B54" s="11">
        <v>45847</v>
      </c>
      <c r="C54" s="13">
        <v>2918.52</v>
      </c>
      <c r="D54" s="19" t="s">
        <v>40</v>
      </c>
      <c r="E54" s="18" t="s">
        <v>70</v>
      </c>
      <c r="F54" s="9" t="s">
        <v>39</v>
      </c>
      <c r="G54" s="35" t="s">
        <v>22</v>
      </c>
      <c r="H54" s="35" t="s">
        <v>26</v>
      </c>
      <c r="I54" s="9" t="s">
        <v>28</v>
      </c>
      <c r="J54" s="9">
        <f t="shared" si="0"/>
        <v>7</v>
      </c>
      <c r="K54" s="36">
        <f t="shared" si="1"/>
        <v>0.29</v>
      </c>
    </row>
    <row r="55" customHeight="1" spans="1:11">
      <c r="A55" s="34" t="s">
        <v>36</v>
      </c>
      <c r="B55" s="11">
        <v>45849</v>
      </c>
      <c r="C55" s="13">
        <v>31454.1</v>
      </c>
      <c r="D55" s="19" t="s">
        <v>42</v>
      </c>
      <c r="E55" s="18" t="s">
        <v>43</v>
      </c>
      <c r="F55" s="9" t="s">
        <v>39</v>
      </c>
      <c r="G55" s="35" t="s">
        <v>22</v>
      </c>
      <c r="H55" s="35" t="s">
        <v>26</v>
      </c>
      <c r="I55" s="9" t="s">
        <v>28</v>
      </c>
      <c r="J55" s="9">
        <f t="shared" si="0"/>
        <v>7</v>
      </c>
      <c r="K55" s="36">
        <f t="shared" si="1"/>
        <v>3.15</v>
      </c>
    </row>
    <row r="56" customHeight="1" spans="1:11">
      <c r="A56" s="34" t="s">
        <v>36</v>
      </c>
      <c r="B56" s="11">
        <v>45849</v>
      </c>
      <c r="C56" s="13">
        <v>25012.29</v>
      </c>
      <c r="D56" s="19" t="s">
        <v>44</v>
      </c>
      <c r="E56" s="18" t="s">
        <v>45</v>
      </c>
      <c r="F56" s="9" t="s">
        <v>39</v>
      </c>
      <c r="G56" s="35" t="s">
        <v>22</v>
      </c>
      <c r="H56" s="35" t="s">
        <v>26</v>
      </c>
      <c r="I56" s="9" t="s">
        <v>28</v>
      </c>
      <c r="J56" s="9">
        <f t="shared" si="0"/>
        <v>7</v>
      </c>
      <c r="K56" s="36">
        <f t="shared" si="1"/>
        <v>2.5</v>
      </c>
    </row>
    <row r="57" customHeight="1" spans="1:11">
      <c r="A57" s="34" t="s">
        <v>36</v>
      </c>
      <c r="B57" s="11">
        <v>45854</v>
      </c>
      <c r="C57" s="13">
        <v>25661.21</v>
      </c>
      <c r="D57" s="19" t="s">
        <v>51</v>
      </c>
      <c r="E57" s="18" t="s">
        <v>47</v>
      </c>
      <c r="F57" s="9" t="s">
        <v>39</v>
      </c>
      <c r="G57" s="35" t="s">
        <v>22</v>
      </c>
      <c r="H57" s="35" t="s">
        <v>23</v>
      </c>
      <c r="I57" s="9" t="s">
        <v>25</v>
      </c>
      <c r="J57" s="9">
        <f t="shared" si="0"/>
        <v>7</v>
      </c>
      <c r="K57" s="36">
        <f t="shared" si="1"/>
        <v>2.57</v>
      </c>
    </row>
    <row r="58" customHeight="1" spans="1:11">
      <c r="A58" s="34" t="s">
        <v>36</v>
      </c>
      <c r="B58" s="11">
        <v>45854</v>
      </c>
      <c r="C58" s="13">
        <v>31551</v>
      </c>
      <c r="D58" s="19" t="s">
        <v>73</v>
      </c>
      <c r="E58" s="18" t="s">
        <v>47</v>
      </c>
      <c r="F58" s="9" t="s">
        <v>39</v>
      </c>
      <c r="G58" s="35" t="s">
        <v>22</v>
      </c>
      <c r="H58" s="35" t="s">
        <v>23</v>
      </c>
      <c r="I58" s="9" t="s">
        <v>24</v>
      </c>
      <c r="J58" s="9">
        <f t="shared" si="0"/>
        <v>7</v>
      </c>
      <c r="K58" s="36">
        <f t="shared" si="1"/>
        <v>3.16</v>
      </c>
    </row>
    <row r="59" customHeight="1" spans="1:11">
      <c r="A59" s="34" t="s">
        <v>36</v>
      </c>
      <c r="B59" s="11">
        <v>45854</v>
      </c>
      <c r="C59" s="13">
        <v>34322.39</v>
      </c>
      <c r="D59" s="19" t="s">
        <v>46</v>
      </c>
      <c r="E59" s="18" t="s">
        <v>47</v>
      </c>
      <c r="F59" s="9" t="s">
        <v>39</v>
      </c>
      <c r="G59" s="35" t="s">
        <v>22</v>
      </c>
      <c r="H59" s="35" t="s">
        <v>23</v>
      </c>
      <c r="I59" s="9" t="s">
        <v>24</v>
      </c>
      <c r="J59" s="9">
        <f t="shared" si="0"/>
        <v>7</v>
      </c>
      <c r="K59" s="36">
        <f t="shared" si="1"/>
        <v>3.43</v>
      </c>
    </row>
    <row r="60" customHeight="1" spans="1:11">
      <c r="A60" s="34" t="s">
        <v>36</v>
      </c>
      <c r="B60" s="11">
        <v>45854</v>
      </c>
      <c r="C60" s="13">
        <v>32358.02</v>
      </c>
      <c r="D60" s="19" t="s">
        <v>48</v>
      </c>
      <c r="E60" s="18" t="s">
        <v>47</v>
      </c>
      <c r="F60" s="9" t="s">
        <v>39</v>
      </c>
      <c r="G60" s="35" t="s">
        <v>22</v>
      </c>
      <c r="H60" s="35" t="s">
        <v>23</v>
      </c>
      <c r="I60" s="9" t="s">
        <v>25</v>
      </c>
      <c r="J60" s="9">
        <f t="shared" si="0"/>
        <v>7</v>
      </c>
      <c r="K60" s="36">
        <f t="shared" si="1"/>
        <v>3.24</v>
      </c>
    </row>
    <row r="61" customHeight="1" spans="1:11">
      <c r="A61" s="37" t="s">
        <v>75</v>
      </c>
      <c r="B61" s="16">
        <v>45672</v>
      </c>
      <c r="C61" s="13">
        <v>2318</v>
      </c>
      <c r="D61" s="19" t="s">
        <v>76</v>
      </c>
      <c r="E61" s="18" t="s">
        <v>77</v>
      </c>
      <c r="F61" s="9" t="s">
        <v>39</v>
      </c>
      <c r="G61" s="35" t="s">
        <v>13</v>
      </c>
      <c r="H61" s="35" t="s">
        <v>14</v>
      </c>
      <c r="I61" s="35" t="s">
        <v>15</v>
      </c>
      <c r="J61" s="9">
        <f t="shared" si="0"/>
        <v>1</v>
      </c>
      <c r="K61" s="36">
        <f t="shared" si="1"/>
        <v>0.23</v>
      </c>
    </row>
    <row r="62" customHeight="1" spans="1:11">
      <c r="A62" s="37" t="s">
        <v>75</v>
      </c>
      <c r="B62" s="11">
        <v>45720</v>
      </c>
      <c r="C62" s="13">
        <v>27341</v>
      </c>
      <c r="D62" s="19" t="s">
        <v>76</v>
      </c>
      <c r="E62" s="19" t="s">
        <v>77</v>
      </c>
      <c r="F62" s="9" t="s">
        <v>39</v>
      </c>
      <c r="G62" s="35" t="s">
        <v>13</v>
      </c>
      <c r="H62" s="35" t="s">
        <v>14</v>
      </c>
      <c r="I62" s="35" t="s">
        <v>15</v>
      </c>
      <c r="J62" s="9">
        <f t="shared" si="0"/>
        <v>3</v>
      </c>
      <c r="K62" s="36">
        <f t="shared" si="1"/>
        <v>2.73</v>
      </c>
    </row>
    <row r="63" customHeight="1" spans="1:11">
      <c r="A63" s="37" t="s">
        <v>75</v>
      </c>
      <c r="B63" s="11">
        <v>45758</v>
      </c>
      <c r="C63" s="13">
        <v>1919.58</v>
      </c>
      <c r="D63" s="19" t="s">
        <v>76</v>
      </c>
      <c r="E63" s="19" t="s">
        <v>77</v>
      </c>
      <c r="F63" s="9" t="s">
        <v>39</v>
      </c>
      <c r="G63" s="35" t="s">
        <v>13</v>
      </c>
      <c r="H63" s="35" t="s">
        <v>14</v>
      </c>
      <c r="I63" s="35" t="s">
        <v>15</v>
      </c>
      <c r="J63" s="9">
        <f t="shared" si="0"/>
        <v>4</v>
      </c>
      <c r="K63" s="36">
        <f t="shared" si="1"/>
        <v>0.19</v>
      </c>
    </row>
    <row r="64" customHeight="1" spans="1:11">
      <c r="A64" s="37" t="s">
        <v>75</v>
      </c>
      <c r="B64" s="11">
        <v>45763</v>
      </c>
      <c r="C64" s="13">
        <v>8552.55</v>
      </c>
      <c r="D64" s="19" t="s">
        <v>78</v>
      </c>
      <c r="E64" s="19" t="s">
        <v>79</v>
      </c>
      <c r="F64" s="9" t="s">
        <v>39</v>
      </c>
      <c r="G64" s="35" t="s">
        <v>6</v>
      </c>
      <c r="H64" s="35" t="s">
        <v>7</v>
      </c>
      <c r="I64" s="35" t="s">
        <v>8</v>
      </c>
      <c r="J64" s="9">
        <f t="shared" si="0"/>
        <v>4</v>
      </c>
      <c r="K64" s="38">
        <f t="shared" si="1"/>
        <v>0.86</v>
      </c>
    </row>
    <row r="65" customHeight="1" spans="1:11">
      <c r="A65" s="37" t="s">
        <v>75</v>
      </c>
      <c r="B65" s="11">
        <v>45793</v>
      </c>
      <c r="C65" s="8">
        <v>1680</v>
      </c>
      <c r="D65" s="19" t="s">
        <v>80</v>
      </c>
      <c r="E65" s="19" t="s">
        <v>81</v>
      </c>
      <c r="F65" s="9" t="s">
        <v>82</v>
      </c>
      <c r="G65" s="35" t="s">
        <v>9</v>
      </c>
      <c r="H65" s="35" t="s">
        <v>10</v>
      </c>
      <c r="I65" s="35" t="s">
        <v>8</v>
      </c>
      <c r="J65" s="9">
        <f t="shared" si="0"/>
        <v>5</v>
      </c>
      <c r="K65" s="38">
        <f t="shared" si="1"/>
        <v>0.17</v>
      </c>
    </row>
    <row r="66" customHeight="1" spans="1:11">
      <c r="A66" s="37" t="s">
        <v>75</v>
      </c>
      <c r="B66" s="11">
        <v>45813</v>
      </c>
      <c r="C66" s="8">
        <v>680</v>
      </c>
      <c r="D66" s="19" t="s">
        <v>80</v>
      </c>
      <c r="E66" s="19" t="s">
        <v>83</v>
      </c>
      <c r="F66" s="9" t="s">
        <v>82</v>
      </c>
      <c r="G66" s="35" t="s">
        <v>9</v>
      </c>
      <c r="H66" s="35" t="s">
        <v>10</v>
      </c>
      <c r="I66" s="35" t="s">
        <v>8</v>
      </c>
      <c r="J66" s="9">
        <f t="shared" ref="J66:J129" si="2">MONTH(B66)</f>
        <v>6</v>
      </c>
      <c r="K66" s="38">
        <f t="shared" ref="K66:K129" si="3">ROUND(C66/10000,2)</f>
        <v>0.07</v>
      </c>
    </row>
    <row r="67" customHeight="1" spans="1:11">
      <c r="A67" s="37" t="s">
        <v>75</v>
      </c>
      <c r="B67" s="11">
        <v>45813</v>
      </c>
      <c r="C67" s="13">
        <v>210000</v>
      </c>
      <c r="D67" s="19" t="s">
        <v>8</v>
      </c>
      <c r="E67" s="19" t="s">
        <v>84</v>
      </c>
      <c r="F67" s="9" t="s">
        <v>39</v>
      </c>
      <c r="G67" s="35" t="s">
        <v>16</v>
      </c>
      <c r="H67" s="35" t="s">
        <v>19</v>
      </c>
      <c r="I67" s="35" t="s">
        <v>8</v>
      </c>
      <c r="J67" s="9">
        <f t="shared" si="2"/>
        <v>6</v>
      </c>
      <c r="K67" s="38">
        <f t="shared" si="3"/>
        <v>21</v>
      </c>
    </row>
    <row r="68" customHeight="1" spans="1:11">
      <c r="A68" s="37" t="s">
        <v>75</v>
      </c>
      <c r="B68" s="11">
        <v>45840</v>
      </c>
      <c r="C68" s="13">
        <v>150000</v>
      </c>
      <c r="D68" s="19" t="s">
        <v>85</v>
      </c>
      <c r="E68" s="19" t="s">
        <v>86</v>
      </c>
      <c r="F68" s="9" t="s">
        <v>39</v>
      </c>
      <c r="G68" s="35" t="s">
        <v>20</v>
      </c>
      <c r="H68" s="35" t="s">
        <v>21</v>
      </c>
      <c r="I68" s="35" t="s">
        <v>12</v>
      </c>
      <c r="J68" s="9">
        <f t="shared" si="2"/>
        <v>7</v>
      </c>
      <c r="K68" s="36">
        <f t="shared" si="3"/>
        <v>15</v>
      </c>
    </row>
    <row r="69" customHeight="1" spans="1:11">
      <c r="A69" s="37" t="s">
        <v>75</v>
      </c>
      <c r="B69" s="11">
        <v>45852</v>
      </c>
      <c r="C69" s="13">
        <v>5265</v>
      </c>
      <c r="D69" s="19" t="s">
        <v>78</v>
      </c>
      <c r="E69" s="19" t="s">
        <v>79</v>
      </c>
      <c r="F69" s="9" t="s">
        <v>39</v>
      </c>
      <c r="G69" s="35" t="s">
        <v>6</v>
      </c>
      <c r="H69" s="35" t="s">
        <v>7</v>
      </c>
      <c r="I69" s="35" t="s">
        <v>8</v>
      </c>
      <c r="J69" s="9">
        <f t="shared" si="2"/>
        <v>7</v>
      </c>
      <c r="K69" s="38">
        <f t="shared" si="3"/>
        <v>0.53</v>
      </c>
    </row>
    <row r="70" customHeight="1" spans="1:11">
      <c r="A70" s="37" t="s">
        <v>75</v>
      </c>
      <c r="B70" s="11">
        <v>45852</v>
      </c>
      <c r="C70" s="13">
        <v>9140.82</v>
      </c>
      <c r="D70" s="19" t="s">
        <v>78</v>
      </c>
      <c r="E70" s="19" t="s">
        <v>79</v>
      </c>
      <c r="F70" s="9" t="s">
        <v>39</v>
      </c>
      <c r="G70" s="35" t="s">
        <v>6</v>
      </c>
      <c r="H70" s="35" t="s">
        <v>7</v>
      </c>
      <c r="I70" s="35" t="s">
        <v>8</v>
      </c>
      <c r="J70" s="9">
        <f t="shared" si="2"/>
        <v>7</v>
      </c>
      <c r="K70" s="38">
        <f t="shared" si="3"/>
        <v>0.91</v>
      </c>
    </row>
    <row r="71" customHeight="1" spans="1:11">
      <c r="A71" s="37" t="s">
        <v>75</v>
      </c>
      <c r="B71" s="11">
        <v>45852</v>
      </c>
      <c r="C71" s="8">
        <v>680</v>
      </c>
      <c r="D71" s="19" t="s">
        <v>80</v>
      </c>
      <c r="E71" s="19" t="s">
        <v>83</v>
      </c>
      <c r="F71" s="9" t="s">
        <v>82</v>
      </c>
      <c r="G71" s="35" t="s">
        <v>9</v>
      </c>
      <c r="H71" s="35" t="s">
        <v>10</v>
      </c>
      <c r="I71" s="35" t="s">
        <v>8</v>
      </c>
      <c r="J71" s="9">
        <f t="shared" si="2"/>
        <v>7</v>
      </c>
      <c r="K71" s="38">
        <f t="shared" si="3"/>
        <v>0.07</v>
      </c>
    </row>
    <row r="72" customHeight="1" spans="1:11">
      <c r="A72" s="39" t="s">
        <v>87</v>
      </c>
      <c r="B72" s="7">
        <v>45665</v>
      </c>
      <c r="C72" s="8">
        <v>6</v>
      </c>
      <c r="D72" s="40" t="s">
        <v>88</v>
      </c>
      <c r="E72" s="40" t="s">
        <v>88</v>
      </c>
      <c r="F72" s="9" t="s">
        <v>82</v>
      </c>
      <c r="G72" s="35" t="s">
        <v>16</v>
      </c>
      <c r="H72" s="35" t="s">
        <v>17</v>
      </c>
      <c r="I72" s="35" t="s">
        <v>8</v>
      </c>
      <c r="J72" s="9">
        <f t="shared" si="2"/>
        <v>1</v>
      </c>
      <c r="K72" s="38">
        <f t="shared" si="3"/>
        <v>0</v>
      </c>
    </row>
    <row r="73" customHeight="1" spans="1:11">
      <c r="A73" s="39" t="s">
        <v>87</v>
      </c>
      <c r="B73" s="7">
        <v>45699</v>
      </c>
      <c r="C73" s="8">
        <v>1088</v>
      </c>
      <c r="D73" s="40" t="s">
        <v>18</v>
      </c>
      <c r="E73" s="40" t="s">
        <v>18</v>
      </c>
      <c r="F73" s="9" t="s">
        <v>82</v>
      </c>
      <c r="G73" s="35" t="s">
        <v>16</v>
      </c>
      <c r="H73" s="35" t="s">
        <v>18</v>
      </c>
      <c r="I73" s="35" t="s">
        <v>8</v>
      </c>
      <c r="J73" s="9">
        <f t="shared" si="2"/>
        <v>2</v>
      </c>
      <c r="K73" s="38">
        <f t="shared" si="3"/>
        <v>0.11</v>
      </c>
    </row>
    <row r="74" customHeight="1" spans="1:11">
      <c r="A74" s="39" t="s">
        <v>87</v>
      </c>
      <c r="B74" s="7">
        <v>45722</v>
      </c>
      <c r="C74" s="8">
        <v>6</v>
      </c>
      <c r="D74" s="40" t="s">
        <v>88</v>
      </c>
      <c r="E74" s="40" t="s">
        <v>88</v>
      </c>
      <c r="F74" s="9" t="s">
        <v>82</v>
      </c>
      <c r="G74" s="35" t="s">
        <v>16</v>
      </c>
      <c r="H74" s="35" t="s">
        <v>17</v>
      </c>
      <c r="I74" s="35" t="s">
        <v>8</v>
      </c>
      <c r="J74" s="9">
        <f t="shared" si="2"/>
        <v>3</v>
      </c>
      <c r="K74" s="38">
        <f t="shared" si="3"/>
        <v>0</v>
      </c>
    </row>
    <row r="75" customHeight="1" spans="1:11">
      <c r="A75" s="39" t="s">
        <v>87</v>
      </c>
      <c r="B75" s="7">
        <v>45737</v>
      </c>
      <c r="C75" s="10">
        <v>-326.4</v>
      </c>
      <c r="D75" s="40" t="s">
        <v>18</v>
      </c>
      <c r="E75" s="40" t="s">
        <v>18</v>
      </c>
      <c r="F75" s="9" t="s">
        <v>82</v>
      </c>
      <c r="G75" s="35" t="s">
        <v>16</v>
      </c>
      <c r="H75" s="35" t="s">
        <v>18</v>
      </c>
      <c r="I75" s="35" t="s">
        <v>8</v>
      </c>
      <c r="J75" s="9">
        <f t="shared" si="2"/>
        <v>3</v>
      </c>
      <c r="K75" s="38">
        <f t="shared" si="3"/>
        <v>-0.03</v>
      </c>
    </row>
    <row r="76" customHeight="1" spans="1:11">
      <c r="A76" s="39" t="s">
        <v>87</v>
      </c>
      <c r="B76" s="7">
        <v>45746</v>
      </c>
      <c r="C76" s="8">
        <v>6</v>
      </c>
      <c r="D76" s="19" t="s">
        <v>89</v>
      </c>
      <c r="E76" s="19" t="s">
        <v>89</v>
      </c>
      <c r="F76" s="9" t="s">
        <v>82</v>
      </c>
      <c r="G76" s="35" t="s">
        <v>16</v>
      </c>
      <c r="H76" s="35" t="s">
        <v>17</v>
      </c>
      <c r="I76" s="35" t="s">
        <v>8</v>
      </c>
      <c r="J76" s="9">
        <f t="shared" si="2"/>
        <v>3</v>
      </c>
      <c r="K76" s="38">
        <f t="shared" si="3"/>
        <v>0</v>
      </c>
    </row>
    <row r="77" customHeight="1" spans="1:11">
      <c r="A77" s="39" t="s">
        <v>87</v>
      </c>
      <c r="B77" s="11">
        <v>45812</v>
      </c>
      <c r="C77" s="8">
        <f>365*29</f>
        <v>10585</v>
      </c>
      <c r="D77" s="19" t="s">
        <v>11</v>
      </c>
      <c r="E77" s="19" t="s">
        <v>11</v>
      </c>
      <c r="F77" s="9" t="s">
        <v>82</v>
      </c>
      <c r="G77" s="35" t="s">
        <v>9</v>
      </c>
      <c r="H77" s="35" t="s">
        <v>11</v>
      </c>
      <c r="I77" s="35" t="s">
        <v>12</v>
      </c>
      <c r="J77" s="9">
        <f t="shared" si="2"/>
        <v>6</v>
      </c>
      <c r="K77" s="36">
        <f t="shared" si="3"/>
        <v>1.06</v>
      </c>
    </row>
    <row r="78" customHeight="1" spans="1:11">
      <c r="A78" s="39" t="s">
        <v>87</v>
      </c>
      <c r="B78" s="11">
        <v>45813</v>
      </c>
      <c r="C78" s="12">
        <f>-365*1</f>
        <v>-365</v>
      </c>
      <c r="D78" s="19" t="s">
        <v>11</v>
      </c>
      <c r="E78" s="19" t="s">
        <v>11</v>
      </c>
      <c r="F78" s="9" t="s">
        <v>82</v>
      </c>
      <c r="G78" s="35" t="s">
        <v>9</v>
      </c>
      <c r="H78" s="35" t="s">
        <v>11</v>
      </c>
      <c r="I78" s="35" t="s">
        <v>12</v>
      </c>
      <c r="J78" s="9">
        <f t="shared" si="2"/>
        <v>6</v>
      </c>
      <c r="K78" s="36">
        <f t="shared" si="3"/>
        <v>-0.04</v>
      </c>
    </row>
    <row r="79" customHeight="1" spans="1:11">
      <c r="A79" s="39" t="s">
        <v>87</v>
      </c>
      <c r="B79" s="11">
        <v>45813</v>
      </c>
      <c r="C79" s="8">
        <f>365*8</f>
        <v>2920</v>
      </c>
      <c r="D79" s="19" t="s">
        <v>11</v>
      </c>
      <c r="E79" s="19" t="s">
        <v>11</v>
      </c>
      <c r="F79" s="9" t="s">
        <v>82</v>
      </c>
      <c r="G79" s="35" t="s">
        <v>9</v>
      </c>
      <c r="H79" s="35" t="s">
        <v>11</v>
      </c>
      <c r="I79" s="35" t="s">
        <v>12</v>
      </c>
      <c r="J79" s="9">
        <f t="shared" si="2"/>
        <v>6</v>
      </c>
      <c r="K79" s="36">
        <f t="shared" si="3"/>
        <v>0.29</v>
      </c>
    </row>
    <row r="80" customHeight="1" spans="1:11">
      <c r="A80" s="39" t="s">
        <v>87</v>
      </c>
      <c r="B80" s="11">
        <v>45814</v>
      </c>
      <c r="C80" s="8">
        <f>365*12</f>
        <v>4380</v>
      </c>
      <c r="D80" s="19" t="s">
        <v>11</v>
      </c>
      <c r="E80" s="19" t="s">
        <v>11</v>
      </c>
      <c r="F80" s="9" t="s">
        <v>82</v>
      </c>
      <c r="G80" s="35" t="s">
        <v>9</v>
      </c>
      <c r="H80" s="35" t="s">
        <v>11</v>
      </c>
      <c r="I80" s="35" t="s">
        <v>12</v>
      </c>
      <c r="J80" s="9">
        <f t="shared" si="2"/>
        <v>6</v>
      </c>
      <c r="K80" s="36">
        <f t="shared" si="3"/>
        <v>0.44</v>
      </c>
    </row>
    <row r="81" customHeight="1" spans="1:11">
      <c r="A81" s="39" t="s">
        <v>87</v>
      </c>
      <c r="B81" s="11">
        <v>45814</v>
      </c>
      <c r="C81" s="12">
        <f>-365*1</f>
        <v>-365</v>
      </c>
      <c r="D81" s="19" t="s">
        <v>11</v>
      </c>
      <c r="E81" s="19" t="s">
        <v>11</v>
      </c>
      <c r="F81" s="9" t="s">
        <v>82</v>
      </c>
      <c r="G81" s="35" t="s">
        <v>9</v>
      </c>
      <c r="H81" s="35" t="s">
        <v>11</v>
      </c>
      <c r="I81" s="35" t="s">
        <v>12</v>
      </c>
      <c r="J81" s="9">
        <f t="shared" si="2"/>
        <v>6</v>
      </c>
      <c r="K81" s="36">
        <f t="shared" si="3"/>
        <v>-0.04</v>
      </c>
    </row>
    <row r="82" customHeight="1" spans="1:11">
      <c r="A82" s="39" t="s">
        <v>87</v>
      </c>
      <c r="B82" s="11">
        <v>45815</v>
      </c>
      <c r="C82" s="8">
        <f>365*2</f>
        <v>730</v>
      </c>
      <c r="D82" s="19" t="s">
        <v>11</v>
      </c>
      <c r="E82" s="19" t="s">
        <v>11</v>
      </c>
      <c r="F82" s="9" t="s">
        <v>82</v>
      </c>
      <c r="G82" s="35" t="s">
        <v>9</v>
      </c>
      <c r="H82" s="35" t="s">
        <v>11</v>
      </c>
      <c r="I82" s="35" t="s">
        <v>12</v>
      </c>
      <c r="J82" s="9">
        <f t="shared" si="2"/>
        <v>6</v>
      </c>
      <c r="K82" s="36">
        <f t="shared" si="3"/>
        <v>0.07</v>
      </c>
    </row>
    <row r="83" customHeight="1" spans="1:11">
      <c r="A83" s="39" t="s">
        <v>87</v>
      </c>
      <c r="B83" s="11">
        <v>45816</v>
      </c>
      <c r="C83" s="8">
        <f>365*1</f>
        <v>365</v>
      </c>
      <c r="D83" s="19" t="s">
        <v>11</v>
      </c>
      <c r="E83" s="19" t="s">
        <v>11</v>
      </c>
      <c r="F83" s="9" t="s">
        <v>82</v>
      </c>
      <c r="G83" s="35" t="s">
        <v>9</v>
      </c>
      <c r="H83" s="35" t="s">
        <v>11</v>
      </c>
      <c r="I83" s="35" t="s">
        <v>12</v>
      </c>
      <c r="J83" s="9">
        <f t="shared" si="2"/>
        <v>6</v>
      </c>
      <c r="K83" s="36">
        <f t="shared" si="3"/>
        <v>0.04</v>
      </c>
    </row>
    <row r="84" customHeight="1" spans="1:11">
      <c r="A84" s="39" t="s">
        <v>87</v>
      </c>
      <c r="B84" s="11">
        <v>45817</v>
      </c>
      <c r="C84" s="8">
        <f>365*2</f>
        <v>730</v>
      </c>
      <c r="D84" s="19" t="s">
        <v>11</v>
      </c>
      <c r="E84" s="19" t="s">
        <v>11</v>
      </c>
      <c r="F84" s="9" t="s">
        <v>82</v>
      </c>
      <c r="G84" s="35" t="s">
        <v>9</v>
      </c>
      <c r="H84" s="35" t="s">
        <v>11</v>
      </c>
      <c r="I84" s="35" t="s">
        <v>12</v>
      </c>
      <c r="J84" s="9">
        <f t="shared" si="2"/>
        <v>6</v>
      </c>
      <c r="K84" s="36">
        <f t="shared" si="3"/>
        <v>0.07</v>
      </c>
    </row>
    <row r="85" customHeight="1" spans="1:11">
      <c r="A85" s="39" t="s">
        <v>87</v>
      </c>
      <c r="B85" s="11">
        <v>45818</v>
      </c>
      <c r="C85" s="8">
        <f>365*1</f>
        <v>365</v>
      </c>
      <c r="D85" s="19" t="s">
        <v>11</v>
      </c>
      <c r="E85" s="19" t="s">
        <v>11</v>
      </c>
      <c r="F85" s="9" t="s">
        <v>82</v>
      </c>
      <c r="G85" s="35" t="s">
        <v>9</v>
      </c>
      <c r="H85" s="35" t="s">
        <v>11</v>
      </c>
      <c r="I85" s="35" t="s">
        <v>12</v>
      </c>
      <c r="J85" s="9">
        <f t="shared" si="2"/>
        <v>6</v>
      </c>
      <c r="K85" s="36">
        <f t="shared" si="3"/>
        <v>0.04</v>
      </c>
    </row>
    <row r="86" customHeight="1" spans="1:11">
      <c r="A86" s="39" t="s">
        <v>87</v>
      </c>
      <c r="B86" s="11">
        <v>45819</v>
      </c>
      <c r="C86" s="12">
        <f>-365*1</f>
        <v>-365</v>
      </c>
      <c r="D86" s="19" t="s">
        <v>11</v>
      </c>
      <c r="E86" s="19" t="s">
        <v>11</v>
      </c>
      <c r="F86" s="9" t="s">
        <v>82</v>
      </c>
      <c r="G86" s="35" t="s">
        <v>9</v>
      </c>
      <c r="H86" s="35" t="s">
        <v>11</v>
      </c>
      <c r="I86" s="35" t="s">
        <v>12</v>
      </c>
      <c r="J86" s="9">
        <f t="shared" si="2"/>
        <v>6</v>
      </c>
      <c r="K86" s="36">
        <f t="shared" si="3"/>
        <v>-0.04</v>
      </c>
    </row>
    <row r="87" customHeight="1" spans="1:11">
      <c r="A87" s="39" t="s">
        <v>87</v>
      </c>
      <c r="B87" s="11">
        <v>45819</v>
      </c>
      <c r="C87" s="8">
        <f>365*9</f>
        <v>3285</v>
      </c>
      <c r="D87" s="19" t="s">
        <v>11</v>
      </c>
      <c r="E87" s="19" t="s">
        <v>11</v>
      </c>
      <c r="F87" s="9" t="s">
        <v>82</v>
      </c>
      <c r="G87" s="35" t="s">
        <v>9</v>
      </c>
      <c r="H87" s="35" t="s">
        <v>11</v>
      </c>
      <c r="I87" s="35" t="s">
        <v>12</v>
      </c>
      <c r="J87" s="9">
        <f t="shared" si="2"/>
        <v>6</v>
      </c>
      <c r="K87" s="36">
        <f t="shared" si="3"/>
        <v>0.33</v>
      </c>
    </row>
    <row r="88" customHeight="1" spans="1:11">
      <c r="A88" s="39" t="s">
        <v>87</v>
      </c>
      <c r="B88" s="11">
        <v>45821</v>
      </c>
      <c r="C88" s="8">
        <f>365*2</f>
        <v>730</v>
      </c>
      <c r="D88" s="19" t="s">
        <v>11</v>
      </c>
      <c r="E88" s="19" t="s">
        <v>11</v>
      </c>
      <c r="F88" s="9" t="s">
        <v>82</v>
      </c>
      <c r="G88" s="35" t="s">
        <v>9</v>
      </c>
      <c r="H88" s="35" t="s">
        <v>11</v>
      </c>
      <c r="I88" s="35" t="s">
        <v>12</v>
      </c>
      <c r="J88" s="9">
        <f t="shared" si="2"/>
        <v>6</v>
      </c>
      <c r="K88" s="36">
        <f t="shared" si="3"/>
        <v>0.07</v>
      </c>
    </row>
    <row r="89" customHeight="1" spans="1:11">
      <c r="A89" s="39" t="s">
        <v>87</v>
      </c>
      <c r="B89" s="11">
        <v>45824</v>
      </c>
      <c r="C89" s="8">
        <f>365*1</f>
        <v>365</v>
      </c>
      <c r="D89" s="19" t="s">
        <v>11</v>
      </c>
      <c r="E89" s="19" t="s">
        <v>11</v>
      </c>
      <c r="F89" s="9" t="s">
        <v>82</v>
      </c>
      <c r="G89" s="35" t="s">
        <v>9</v>
      </c>
      <c r="H89" s="35" t="s">
        <v>11</v>
      </c>
      <c r="I89" s="35" t="s">
        <v>12</v>
      </c>
      <c r="J89" s="9">
        <f t="shared" si="2"/>
        <v>6</v>
      </c>
      <c r="K89" s="36">
        <f t="shared" si="3"/>
        <v>0.04</v>
      </c>
    </row>
    <row r="90" customHeight="1" spans="1:11">
      <c r="A90" s="39" t="s">
        <v>87</v>
      </c>
      <c r="B90" s="11">
        <v>45826</v>
      </c>
      <c r="C90" s="8">
        <f>365*2</f>
        <v>730</v>
      </c>
      <c r="D90" s="19" t="s">
        <v>11</v>
      </c>
      <c r="E90" s="19" t="s">
        <v>11</v>
      </c>
      <c r="F90" s="9" t="s">
        <v>82</v>
      </c>
      <c r="G90" s="35" t="s">
        <v>9</v>
      </c>
      <c r="H90" s="35" t="s">
        <v>11</v>
      </c>
      <c r="I90" s="35" t="s">
        <v>12</v>
      </c>
      <c r="J90" s="9">
        <f t="shared" si="2"/>
        <v>6</v>
      </c>
      <c r="K90" s="36">
        <f t="shared" si="3"/>
        <v>0.07</v>
      </c>
    </row>
    <row r="91" customHeight="1" spans="1:11">
      <c r="A91" s="39" t="s">
        <v>87</v>
      </c>
      <c r="B91" s="7">
        <v>45826</v>
      </c>
      <c r="C91" s="8">
        <v>1088</v>
      </c>
      <c r="D91" s="40" t="s">
        <v>18</v>
      </c>
      <c r="E91" s="40" t="s">
        <v>18</v>
      </c>
      <c r="F91" s="9" t="s">
        <v>82</v>
      </c>
      <c r="G91" s="35" t="s">
        <v>16</v>
      </c>
      <c r="H91" s="35" t="s">
        <v>18</v>
      </c>
      <c r="I91" s="35" t="s">
        <v>8</v>
      </c>
      <c r="J91" s="9">
        <f t="shared" si="2"/>
        <v>6</v>
      </c>
      <c r="K91" s="38">
        <f t="shared" si="3"/>
        <v>0.11</v>
      </c>
    </row>
    <row r="92" customHeight="1" spans="1:11">
      <c r="A92" s="39" t="s">
        <v>87</v>
      </c>
      <c r="B92" s="11">
        <v>45827</v>
      </c>
      <c r="C92" s="8">
        <f>365*1</f>
        <v>365</v>
      </c>
      <c r="D92" s="19" t="s">
        <v>11</v>
      </c>
      <c r="E92" s="19" t="s">
        <v>11</v>
      </c>
      <c r="F92" s="9" t="s">
        <v>82</v>
      </c>
      <c r="G92" s="35" t="s">
        <v>9</v>
      </c>
      <c r="H92" s="35" t="s">
        <v>11</v>
      </c>
      <c r="I92" s="35" t="s">
        <v>12</v>
      </c>
      <c r="J92" s="9">
        <f t="shared" si="2"/>
        <v>6</v>
      </c>
      <c r="K92" s="36">
        <f t="shared" si="3"/>
        <v>0.04</v>
      </c>
    </row>
    <row r="93" customHeight="1" spans="1:11">
      <c r="A93" s="39" t="s">
        <v>87</v>
      </c>
      <c r="B93" s="11">
        <v>45828</v>
      </c>
      <c r="C93" s="8">
        <f>365*1</f>
        <v>365</v>
      </c>
      <c r="D93" s="19" t="s">
        <v>11</v>
      </c>
      <c r="E93" s="19" t="s">
        <v>11</v>
      </c>
      <c r="F93" s="9" t="s">
        <v>82</v>
      </c>
      <c r="G93" s="35" t="s">
        <v>9</v>
      </c>
      <c r="H93" s="35" t="s">
        <v>11</v>
      </c>
      <c r="I93" s="35" t="s">
        <v>12</v>
      </c>
      <c r="J93" s="9">
        <f t="shared" si="2"/>
        <v>6</v>
      </c>
      <c r="K93" s="36">
        <f t="shared" si="3"/>
        <v>0.04</v>
      </c>
    </row>
    <row r="94" customHeight="1" spans="1:11">
      <c r="A94" s="39" t="s">
        <v>87</v>
      </c>
      <c r="B94" s="11">
        <v>45831</v>
      </c>
      <c r="C94" s="8">
        <f>365*1</f>
        <v>365</v>
      </c>
      <c r="D94" s="19" t="s">
        <v>11</v>
      </c>
      <c r="E94" s="19" t="s">
        <v>11</v>
      </c>
      <c r="F94" s="9" t="s">
        <v>82</v>
      </c>
      <c r="G94" s="35" t="s">
        <v>9</v>
      </c>
      <c r="H94" s="35" t="s">
        <v>11</v>
      </c>
      <c r="I94" s="35" t="s">
        <v>12</v>
      </c>
      <c r="J94" s="9">
        <f t="shared" si="2"/>
        <v>6</v>
      </c>
      <c r="K94" s="36">
        <f t="shared" si="3"/>
        <v>0.04</v>
      </c>
    </row>
    <row r="95" customHeight="1" spans="1:11">
      <c r="A95" s="39" t="s">
        <v>87</v>
      </c>
      <c r="B95" s="11">
        <v>45831</v>
      </c>
      <c r="C95" s="12">
        <f>-365*1</f>
        <v>-365</v>
      </c>
      <c r="D95" s="19" t="s">
        <v>11</v>
      </c>
      <c r="E95" s="19" t="s">
        <v>11</v>
      </c>
      <c r="F95" s="9" t="s">
        <v>82</v>
      </c>
      <c r="G95" s="35" t="s">
        <v>9</v>
      </c>
      <c r="H95" s="35" t="s">
        <v>11</v>
      </c>
      <c r="I95" s="35" t="s">
        <v>12</v>
      </c>
      <c r="J95" s="9">
        <f t="shared" si="2"/>
        <v>6</v>
      </c>
      <c r="K95" s="36">
        <f t="shared" si="3"/>
        <v>-0.04</v>
      </c>
    </row>
    <row r="96" customHeight="1" spans="1:11">
      <c r="A96" s="39" t="s">
        <v>87</v>
      </c>
      <c r="B96" s="11">
        <v>45832</v>
      </c>
      <c r="C96" s="13">
        <f>365*2</f>
        <v>730</v>
      </c>
      <c r="D96" s="19" t="s">
        <v>11</v>
      </c>
      <c r="E96" s="19" t="s">
        <v>11</v>
      </c>
      <c r="F96" s="9" t="s">
        <v>82</v>
      </c>
      <c r="G96" s="35" t="s">
        <v>9</v>
      </c>
      <c r="H96" s="35" t="s">
        <v>11</v>
      </c>
      <c r="I96" s="35" t="s">
        <v>12</v>
      </c>
      <c r="J96" s="9">
        <f t="shared" si="2"/>
        <v>6</v>
      </c>
      <c r="K96" s="36">
        <f t="shared" si="3"/>
        <v>0.07</v>
      </c>
    </row>
    <row r="97" customHeight="1" spans="1:11">
      <c r="A97" s="39" t="s">
        <v>87</v>
      </c>
      <c r="B97" s="7">
        <v>45833</v>
      </c>
      <c r="C97" s="8">
        <v>1088</v>
      </c>
      <c r="D97" s="40" t="s">
        <v>18</v>
      </c>
      <c r="E97" s="40" t="s">
        <v>18</v>
      </c>
      <c r="F97" s="9" t="s">
        <v>82</v>
      </c>
      <c r="G97" s="35" t="s">
        <v>16</v>
      </c>
      <c r="H97" s="35" t="s">
        <v>18</v>
      </c>
      <c r="I97" s="35" t="s">
        <v>8</v>
      </c>
      <c r="J97" s="9">
        <f t="shared" si="2"/>
        <v>6</v>
      </c>
      <c r="K97" s="38">
        <f t="shared" si="3"/>
        <v>0.11</v>
      </c>
    </row>
    <row r="98" customHeight="1" spans="1:11">
      <c r="A98" s="39" t="s">
        <v>87</v>
      </c>
      <c r="B98" s="11">
        <v>45834</v>
      </c>
      <c r="C98" s="8">
        <f>365*1</f>
        <v>365</v>
      </c>
      <c r="D98" s="19" t="s">
        <v>11</v>
      </c>
      <c r="E98" s="19" t="s">
        <v>11</v>
      </c>
      <c r="F98" s="9" t="s">
        <v>82</v>
      </c>
      <c r="G98" s="35" t="s">
        <v>9</v>
      </c>
      <c r="H98" s="35" t="s">
        <v>11</v>
      </c>
      <c r="I98" s="35" t="s">
        <v>12</v>
      </c>
      <c r="J98" s="9">
        <f t="shared" si="2"/>
        <v>6</v>
      </c>
      <c r="K98" s="36">
        <f t="shared" si="3"/>
        <v>0.04</v>
      </c>
    </row>
    <row r="99" customHeight="1" spans="1:11">
      <c r="A99" s="39" t="s">
        <v>87</v>
      </c>
      <c r="B99" s="11">
        <v>45835</v>
      </c>
      <c r="C99" s="8">
        <f>365*1</f>
        <v>365</v>
      </c>
      <c r="D99" s="19" t="s">
        <v>11</v>
      </c>
      <c r="E99" s="19" t="s">
        <v>11</v>
      </c>
      <c r="F99" s="9" t="s">
        <v>82</v>
      </c>
      <c r="G99" s="35" t="s">
        <v>9</v>
      </c>
      <c r="H99" s="35" t="s">
        <v>11</v>
      </c>
      <c r="I99" s="35" t="s">
        <v>12</v>
      </c>
      <c r="J99" s="9">
        <f t="shared" si="2"/>
        <v>6</v>
      </c>
      <c r="K99" s="36">
        <f t="shared" si="3"/>
        <v>0.04</v>
      </c>
    </row>
    <row r="100" customHeight="1" spans="1:11">
      <c r="A100" s="39" t="s">
        <v>87</v>
      </c>
      <c r="B100" s="11">
        <v>45835</v>
      </c>
      <c r="C100" s="12">
        <f>-365*1</f>
        <v>-365</v>
      </c>
      <c r="D100" s="19" t="s">
        <v>11</v>
      </c>
      <c r="E100" s="19" t="s">
        <v>11</v>
      </c>
      <c r="F100" s="9" t="s">
        <v>82</v>
      </c>
      <c r="G100" s="35" t="s">
        <v>9</v>
      </c>
      <c r="H100" s="35" t="s">
        <v>11</v>
      </c>
      <c r="I100" s="35" t="s">
        <v>12</v>
      </c>
      <c r="J100" s="9">
        <f t="shared" si="2"/>
        <v>6</v>
      </c>
      <c r="K100" s="36">
        <f t="shared" si="3"/>
        <v>-0.04</v>
      </c>
    </row>
    <row r="101" customHeight="1" spans="1:11">
      <c r="A101" s="39" t="s">
        <v>87</v>
      </c>
      <c r="B101" s="11">
        <v>45838</v>
      </c>
      <c r="C101" s="13">
        <f>365*2</f>
        <v>730</v>
      </c>
      <c r="D101" s="19" t="s">
        <v>11</v>
      </c>
      <c r="E101" s="19" t="s">
        <v>11</v>
      </c>
      <c r="F101" s="9" t="s">
        <v>82</v>
      </c>
      <c r="G101" s="35" t="s">
        <v>9</v>
      </c>
      <c r="H101" s="35" t="s">
        <v>11</v>
      </c>
      <c r="I101" s="35" t="s">
        <v>12</v>
      </c>
      <c r="J101" s="9">
        <f t="shared" si="2"/>
        <v>6</v>
      </c>
      <c r="K101" s="36">
        <f t="shared" si="3"/>
        <v>0.07</v>
      </c>
    </row>
    <row r="102" customHeight="1" spans="1:11">
      <c r="A102" s="39" t="s">
        <v>87</v>
      </c>
      <c r="B102" s="11">
        <v>45839</v>
      </c>
      <c r="C102" s="12">
        <f>-365*1</f>
        <v>-365</v>
      </c>
      <c r="D102" s="19" t="s">
        <v>11</v>
      </c>
      <c r="E102" s="19" t="s">
        <v>11</v>
      </c>
      <c r="F102" s="9" t="s">
        <v>82</v>
      </c>
      <c r="G102" s="35" t="s">
        <v>9</v>
      </c>
      <c r="H102" s="35" t="s">
        <v>11</v>
      </c>
      <c r="I102" s="35" t="s">
        <v>12</v>
      </c>
      <c r="J102" s="9">
        <f t="shared" si="2"/>
        <v>7</v>
      </c>
      <c r="K102" s="36">
        <f t="shared" si="3"/>
        <v>-0.04</v>
      </c>
    </row>
    <row r="103" customHeight="1" spans="1:11">
      <c r="A103" s="39" t="s">
        <v>87</v>
      </c>
      <c r="B103" s="11">
        <v>45842</v>
      </c>
      <c r="C103" s="13">
        <f>365*3</f>
        <v>1095</v>
      </c>
      <c r="D103" s="19" t="s">
        <v>11</v>
      </c>
      <c r="E103" s="19" t="s">
        <v>11</v>
      </c>
      <c r="F103" s="9" t="s">
        <v>82</v>
      </c>
      <c r="G103" s="35" t="s">
        <v>9</v>
      </c>
      <c r="H103" s="35" t="s">
        <v>11</v>
      </c>
      <c r="I103" s="35" t="s">
        <v>12</v>
      </c>
      <c r="J103" s="9">
        <f t="shared" si="2"/>
        <v>7</v>
      </c>
      <c r="K103" s="36">
        <f t="shared" si="3"/>
        <v>0.11</v>
      </c>
    </row>
    <row r="104" customHeight="1" spans="1:11">
      <c r="A104" s="39" t="s">
        <v>87</v>
      </c>
      <c r="B104" s="11">
        <v>45843</v>
      </c>
      <c r="C104" s="13">
        <f>365*1</f>
        <v>365</v>
      </c>
      <c r="D104" s="19" t="s">
        <v>11</v>
      </c>
      <c r="E104" s="19" t="s">
        <v>11</v>
      </c>
      <c r="F104" s="9" t="s">
        <v>82</v>
      </c>
      <c r="G104" s="35" t="s">
        <v>9</v>
      </c>
      <c r="H104" s="35" t="s">
        <v>11</v>
      </c>
      <c r="I104" s="35" t="s">
        <v>12</v>
      </c>
      <c r="J104" s="9">
        <f t="shared" si="2"/>
        <v>7</v>
      </c>
      <c r="K104" s="36">
        <f t="shared" si="3"/>
        <v>0.04</v>
      </c>
    </row>
    <row r="105" customHeight="1" spans="1:11">
      <c r="A105" s="39" t="s">
        <v>87</v>
      </c>
      <c r="B105" s="11">
        <v>45844</v>
      </c>
      <c r="C105" s="13">
        <v>365</v>
      </c>
      <c r="D105" s="19" t="s">
        <v>11</v>
      </c>
      <c r="E105" s="19" t="s">
        <v>11</v>
      </c>
      <c r="F105" s="9" t="s">
        <v>82</v>
      </c>
      <c r="G105" s="35" t="s">
        <v>9</v>
      </c>
      <c r="H105" s="35" t="s">
        <v>11</v>
      </c>
      <c r="I105" s="35" t="s">
        <v>12</v>
      </c>
      <c r="J105" s="9">
        <f t="shared" si="2"/>
        <v>7</v>
      </c>
      <c r="K105" s="36">
        <f t="shared" si="3"/>
        <v>0.04</v>
      </c>
    </row>
    <row r="106" customHeight="1" spans="1:11">
      <c r="A106" s="39" t="s">
        <v>87</v>
      </c>
      <c r="B106" s="11">
        <v>45845</v>
      </c>
      <c r="C106" s="12">
        <f>-365*1</f>
        <v>-365</v>
      </c>
      <c r="D106" s="19" t="s">
        <v>11</v>
      </c>
      <c r="E106" s="19" t="s">
        <v>11</v>
      </c>
      <c r="F106" s="9" t="s">
        <v>82</v>
      </c>
      <c r="G106" s="35" t="s">
        <v>9</v>
      </c>
      <c r="H106" s="35" t="s">
        <v>11</v>
      </c>
      <c r="I106" s="35" t="s">
        <v>12</v>
      </c>
      <c r="J106" s="9">
        <f t="shared" si="2"/>
        <v>7</v>
      </c>
      <c r="K106" s="36">
        <f t="shared" si="3"/>
        <v>-0.04</v>
      </c>
    </row>
    <row r="107" customHeight="1" spans="1:11">
      <c r="A107" s="39" t="s">
        <v>87</v>
      </c>
      <c r="B107" s="11">
        <v>45846</v>
      </c>
      <c r="C107" s="13">
        <f>365*3</f>
        <v>1095</v>
      </c>
      <c r="D107" s="19" t="s">
        <v>11</v>
      </c>
      <c r="E107" s="19" t="s">
        <v>11</v>
      </c>
      <c r="F107" s="9" t="s">
        <v>82</v>
      </c>
      <c r="G107" s="35" t="s">
        <v>9</v>
      </c>
      <c r="H107" s="35" t="s">
        <v>11</v>
      </c>
      <c r="I107" s="35" t="s">
        <v>12</v>
      </c>
      <c r="J107" s="9">
        <f t="shared" si="2"/>
        <v>7</v>
      </c>
      <c r="K107" s="36">
        <f t="shared" si="3"/>
        <v>0.11</v>
      </c>
    </row>
    <row r="108" customHeight="1" spans="1:11">
      <c r="A108" s="39" t="s">
        <v>87</v>
      </c>
      <c r="B108" s="11">
        <v>45847</v>
      </c>
      <c r="C108" s="13">
        <f>365*3</f>
        <v>1095</v>
      </c>
      <c r="D108" s="19" t="s">
        <v>11</v>
      </c>
      <c r="E108" s="19" t="s">
        <v>11</v>
      </c>
      <c r="F108" s="9" t="s">
        <v>82</v>
      </c>
      <c r="G108" s="35" t="s">
        <v>9</v>
      </c>
      <c r="H108" s="35" t="s">
        <v>11</v>
      </c>
      <c r="I108" s="35" t="s">
        <v>12</v>
      </c>
      <c r="J108" s="9">
        <f t="shared" si="2"/>
        <v>7</v>
      </c>
      <c r="K108" s="36">
        <f t="shared" si="3"/>
        <v>0.11</v>
      </c>
    </row>
    <row r="109" customHeight="1" spans="1:11">
      <c r="A109" s="39" t="s">
        <v>87</v>
      </c>
      <c r="B109" s="11">
        <v>45847</v>
      </c>
      <c r="C109" s="12">
        <f>-365*1</f>
        <v>-365</v>
      </c>
      <c r="D109" s="19" t="s">
        <v>11</v>
      </c>
      <c r="E109" s="19" t="s">
        <v>11</v>
      </c>
      <c r="F109" s="9" t="s">
        <v>82</v>
      </c>
      <c r="G109" s="35" t="s">
        <v>9</v>
      </c>
      <c r="H109" s="35" t="s">
        <v>11</v>
      </c>
      <c r="I109" s="35" t="s">
        <v>12</v>
      </c>
      <c r="J109" s="9">
        <f t="shared" si="2"/>
        <v>7</v>
      </c>
      <c r="K109" s="36">
        <f t="shared" si="3"/>
        <v>-0.04</v>
      </c>
    </row>
    <row r="110" customHeight="1" spans="1:11">
      <c r="A110" s="39" t="s">
        <v>87</v>
      </c>
      <c r="B110" s="11">
        <v>45851</v>
      </c>
      <c r="C110" s="13">
        <f>365*2</f>
        <v>730</v>
      </c>
      <c r="D110" s="19" t="s">
        <v>11</v>
      </c>
      <c r="E110" s="19" t="s">
        <v>11</v>
      </c>
      <c r="F110" s="9" t="s">
        <v>82</v>
      </c>
      <c r="G110" s="35" t="s">
        <v>9</v>
      </c>
      <c r="H110" s="35" t="s">
        <v>11</v>
      </c>
      <c r="I110" s="35" t="s">
        <v>12</v>
      </c>
      <c r="J110" s="9">
        <f t="shared" si="2"/>
        <v>7</v>
      </c>
      <c r="K110" s="36">
        <f t="shared" si="3"/>
        <v>0.07</v>
      </c>
    </row>
    <row r="111" customHeight="1" spans="1:11">
      <c r="A111" s="39" t="s">
        <v>87</v>
      </c>
      <c r="B111" s="11">
        <v>45852</v>
      </c>
      <c r="C111" s="13">
        <v>365</v>
      </c>
      <c r="D111" s="19" t="s">
        <v>11</v>
      </c>
      <c r="E111" s="19" t="s">
        <v>11</v>
      </c>
      <c r="F111" s="9" t="s">
        <v>82</v>
      </c>
      <c r="G111" s="35" t="s">
        <v>9</v>
      </c>
      <c r="H111" s="35" t="s">
        <v>11</v>
      </c>
      <c r="I111" s="35" t="s">
        <v>12</v>
      </c>
      <c r="J111" s="9">
        <f t="shared" si="2"/>
        <v>7</v>
      </c>
      <c r="K111" s="36">
        <f t="shared" si="3"/>
        <v>0.04</v>
      </c>
    </row>
    <row r="112" customHeight="1" spans="1:11">
      <c r="A112" s="39" t="s">
        <v>87</v>
      </c>
      <c r="B112" s="11">
        <v>45856</v>
      </c>
      <c r="C112" s="13">
        <f>365*2</f>
        <v>730</v>
      </c>
      <c r="D112" s="19" t="s">
        <v>11</v>
      </c>
      <c r="E112" s="19" t="s">
        <v>11</v>
      </c>
      <c r="F112" s="9" t="s">
        <v>82</v>
      </c>
      <c r="G112" s="35" t="s">
        <v>9</v>
      </c>
      <c r="H112" s="35" t="s">
        <v>11</v>
      </c>
      <c r="I112" s="35" t="s">
        <v>12</v>
      </c>
      <c r="J112" s="9">
        <f t="shared" si="2"/>
        <v>7</v>
      </c>
      <c r="K112" s="36">
        <f t="shared" si="3"/>
        <v>0.07</v>
      </c>
    </row>
    <row r="113" customHeight="1" spans="1:11">
      <c r="A113" s="39" t="s">
        <v>87</v>
      </c>
      <c r="B113" s="11">
        <v>45857</v>
      </c>
      <c r="C113" s="13">
        <f>365*6</f>
        <v>2190</v>
      </c>
      <c r="D113" s="19" t="s">
        <v>11</v>
      </c>
      <c r="E113" s="19" t="s">
        <v>11</v>
      </c>
      <c r="F113" s="9" t="s">
        <v>82</v>
      </c>
      <c r="G113" s="35" t="s">
        <v>9</v>
      </c>
      <c r="H113" s="35" t="s">
        <v>11</v>
      </c>
      <c r="I113" s="35" t="s">
        <v>12</v>
      </c>
      <c r="J113" s="9">
        <f t="shared" si="2"/>
        <v>7</v>
      </c>
      <c r="K113" s="36">
        <f t="shared" si="3"/>
        <v>0.22</v>
      </c>
    </row>
    <row r="114" customHeight="1" spans="1:11">
      <c r="A114" s="39" t="s">
        <v>87</v>
      </c>
      <c r="B114" s="11">
        <v>45859</v>
      </c>
      <c r="C114" s="13">
        <f>365*2</f>
        <v>730</v>
      </c>
      <c r="D114" s="19" t="s">
        <v>11</v>
      </c>
      <c r="E114" s="19" t="s">
        <v>11</v>
      </c>
      <c r="F114" s="9" t="s">
        <v>82</v>
      </c>
      <c r="G114" s="35" t="s">
        <v>9</v>
      </c>
      <c r="H114" s="35" t="s">
        <v>11</v>
      </c>
      <c r="I114" s="35" t="s">
        <v>12</v>
      </c>
      <c r="J114" s="9">
        <f t="shared" si="2"/>
        <v>7</v>
      </c>
      <c r="K114" s="36">
        <f t="shared" si="3"/>
        <v>0.07</v>
      </c>
    </row>
    <row r="115" customHeight="1" spans="1:11">
      <c r="A115" s="39" t="s">
        <v>87</v>
      </c>
      <c r="B115" s="11">
        <v>45860</v>
      </c>
      <c r="C115" s="13">
        <v>365</v>
      </c>
      <c r="D115" s="19" t="s">
        <v>11</v>
      </c>
      <c r="E115" s="19" t="s">
        <v>11</v>
      </c>
      <c r="F115" s="9" t="s">
        <v>82</v>
      </c>
      <c r="G115" s="35" t="s">
        <v>9</v>
      </c>
      <c r="H115" s="35" t="s">
        <v>11</v>
      </c>
      <c r="I115" s="35" t="s">
        <v>12</v>
      </c>
      <c r="J115" s="9">
        <f t="shared" si="2"/>
        <v>7</v>
      </c>
      <c r="K115" s="36">
        <f t="shared" si="3"/>
        <v>0.04</v>
      </c>
    </row>
    <row r="116" customHeight="1" spans="1:11">
      <c r="A116" s="39" t="s">
        <v>87</v>
      </c>
      <c r="B116" s="11">
        <v>45861</v>
      </c>
      <c r="C116" s="13">
        <f>365*14</f>
        <v>5110</v>
      </c>
      <c r="D116" s="19" t="s">
        <v>11</v>
      </c>
      <c r="E116" s="19" t="s">
        <v>11</v>
      </c>
      <c r="F116" s="9" t="s">
        <v>82</v>
      </c>
      <c r="G116" s="35" t="s">
        <v>9</v>
      </c>
      <c r="H116" s="35" t="s">
        <v>11</v>
      </c>
      <c r="I116" s="35" t="s">
        <v>12</v>
      </c>
      <c r="J116" s="9">
        <f t="shared" si="2"/>
        <v>7</v>
      </c>
      <c r="K116" s="36">
        <f t="shared" si="3"/>
        <v>0.51</v>
      </c>
    </row>
    <row r="117" customHeight="1" spans="1:11">
      <c r="A117" s="39" t="s">
        <v>87</v>
      </c>
      <c r="B117" s="11">
        <v>45862</v>
      </c>
      <c r="C117" s="13">
        <f>365*5</f>
        <v>1825</v>
      </c>
      <c r="D117" s="19" t="s">
        <v>11</v>
      </c>
      <c r="E117" s="19" t="s">
        <v>11</v>
      </c>
      <c r="F117" s="9" t="s">
        <v>82</v>
      </c>
      <c r="G117" s="35" t="s">
        <v>9</v>
      </c>
      <c r="H117" s="35" t="s">
        <v>11</v>
      </c>
      <c r="I117" s="35" t="s">
        <v>12</v>
      </c>
      <c r="J117" s="9">
        <f t="shared" si="2"/>
        <v>7</v>
      </c>
      <c r="K117" s="36">
        <f t="shared" si="3"/>
        <v>0.18</v>
      </c>
    </row>
    <row r="118" customHeight="1" spans="1:11">
      <c r="A118" s="39" t="s">
        <v>87</v>
      </c>
      <c r="B118" s="11">
        <v>45863</v>
      </c>
      <c r="C118" s="13">
        <f>365*3</f>
        <v>1095</v>
      </c>
      <c r="D118" s="19" t="s">
        <v>11</v>
      </c>
      <c r="E118" s="19" t="s">
        <v>11</v>
      </c>
      <c r="F118" s="9" t="s">
        <v>82</v>
      </c>
      <c r="G118" s="35" t="s">
        <v>9</v>
      </c>
      <c r="H118" s="35" t="s">
        <v>11</v>
      </c>
      <c r="I118" s="35" t="s">
        <v>12</v>
      </c>
      <c r="J118" s="9">
        <f t="shared" si="2"/>
        <v>7</v>
      </c>
      <c r="K118" s="36">
        <f t="shared" si="3"/>
        <v>0.11</v>
      </c>
    </row>
    <row r="119" customHeight="1" spans="1:11">
      <c r="A119" s="39" t="s">
        <v>87</v>
      </c>
      <c r="B119" s="11">
        <v>45864</v>
      </c>
      <c r="C119" s="12">
        <f>-365*1</f>
        <v>-365</v>
      </c>
      <c r="D119" s="19" t="s">
        <v>11</v>
      </c>
      <c r="E119" s="19" t="s">
        <v>11</v>
      </c>
      <c r="F119" s="9" t="s">
        <v>82</v>
      </c>
      <c r="G119" s="35" t="s">
        <v>9</v>
      </c>
      <c r="H119" s="35" t="s">
        <v>11</v>
      </c>
      <c r="I119" s="35" t="s">
        <v>12</v>
      </c>
      <c r="J119" s="9">
        <f t="shared" si="2"/>
        <v>7</v>
      </c>
      <c r="K119" s="36">
        <f t="shared" si="3"/>
        <v>-0.04</v>
      </c>
    </row>
    <row r="120" customHeight="1" spans="1:11">
      <c r="A120" s="39" t="s">
        <v>87</v>
      </c>
      <c r="B120" s="11">
        <v>45867</v>
      </c>
      <c r="C120" s="8">
        <v>365</v>
      </c>
      <c r="D120" s="19" t="s">
        <v>11</v>
      </c>
      <c r="E120" s="19" t="s">
        <v>11</v>
      </c>
      <c r="F120" s="9" t="s">
        <v>82</v>
      </c>
      <c r="G120" s="35" t="s">
        <v>9</v>
      </c>
      <c r="H120" s="35" t="s">
        <v>11</v>
      </c>
      <c r="I120" s="35" t="s">
        <v>12</v>
      </c>
      <c r="J120" s="9">
        <f t="shared" si="2"/>
        <v>7</v>
      </c>
      <c r="K120" s="38">
        <f t="shared" si="3"/>
        <v>0.04</v>
      </c>
    </row>
    <row r="121" s="1" customFormat="1" customHeight="1" spans="1:11">
      <c r="A121" s="20" t="s">
        <v>36</v>
      </c>
      <c r="B121" s="11">
        <v>45874</v>
      </c>
      <c r="C121" s="8">
        <v>23264.01</v>
      </c>
      <c r="D121" s="19" t="s">
        <v>68</v>
      </c>
      <c r="E121" s="18" t="s">
        <v>90</v>
      </c>
      <c r="F121" s="9" t="s">
        <v>39</v>
      </c>
      <c r="G121" s="9" t="s">
        <v>22</v>
      </c>
      <c r="H121" s="9" t="s">
        <v>26</v>
      </c>
      <c r="I121" s="9" t="s">
        <v>28</v>
      </c>
      <c r="J121" s="9">
        <f t="shared" si="2"/>
        <v>8</v>
      </c>
      <c r="K121" s="8">
        <f t="shared" si="3"/>
        <v>2.33</v>
      </c>
    </row>
    <row r="122" s="1" customFormat="1" customHeight="1" spans="1:11">
      <c r="A122" s="20" t="s">
        <v>36</v>
      </c>
      <c r="B122" s="11">
        <v>45884</v>
      </c>
      <c r="C122" s="8">
        <v>28542.94</v>
      </c>
      <c r="D122" s="19" t="s">
        <v>53</v>
      </c>
      <c r="E122" s="18" t="s">
        <v>47</v>
      </c>
      <c r="F122" s="9" t="s">
        <v>39</v>
      </c>
      <c r="G122" s="9" t="s">
        <v>22</v>
      </c>
      <c r="H122" s="9" t="s">
        <v>23</v>
      </c>
      <c r="I122" s="9" t="s">
        <v>25</v>
      </c>
      <c r="J122" s="9">
        <f t="shared" si="2"/>
        <v>8</v>
      </c>
      <c r="K122" s="8">
        <f t="shared" si="3"/>
        <v>2.85</v>
      </c>
    </row>
    <row r="123" s="1" customFormat="1" customHeight="1" spans="1:11">
      <c r="A123" s="20" t="s">
        <v>36</v>
      </c>
      <c r="B123" s="11">
        <v>45884</v>
      </c>
      <c r="C123" s="8">
        <v>78170.67</v>
      </c>
      <c r="D123" s="19" t="s">
        <v>91</v>
      </c>
      <c r="E123" s="18" t="s">
        <v>47</v>
      </c>
      <c r="F123" s="9" t="s">
        <v>39</v>
      </c>
      <c r="G123" s="9" t="s">
        <v>22</v>
      </c>
      <c r="H123" s="9" t="s">
        <v>23</v>
      </c>
      <c r="I123" s="9" t="s">
        <v>24</v>
      </c>
      <c r="J123" s="9">
        <f t="shared" si="2"/>
        <v>8</v>
      </c>
      <c r="K123" s="8">
        <f t="shared" si="3"/>
        <v>7.82</v>
      </c>
    </row>
    <row r="124" s="1" customFormat="1" customHeight="1" spans="1:11">
      <c r="A124" s="20" t="s">
        <v>36</v>
      </c>
      <c r="B124" s="11">
        <v>45890</v>
      </c>
      <c r="C124" s="8">
        <v>121985.16</v>
      </c>
      <c r="D124" s="19" t="s">
        <v>52</v>
      </c>
      <c r="E124" s="18" t="s">
        <v>47</v>
      </c>
      <c r="F124" s="9" t="s">
        <v>39</v>
      </c>
      <c r="G124" s="9" t="s">
        <v>22</v>
      </c>
      <c r="H124" s="9" t="s">
        <v>23</v>
      </c>
      <c r="I124" s="9" t="s">
        <v>25</v>
      </c>
      <c r="J124" s="9">
        <f t="shared" si="2"/>
        <v>8</v>
      </c>
      <c r="K124" s="8">
        <f t="shared" si="3"/>
        <v>12.2</v>
      </c>
    </row>
    <row r="125" s="1" customFormat="1" customHeight="1" spans="1:11">
      <c r="A125" s="20" t="s">
        <v>36</v>
      </c>
      <c r="B125" s="11">
        <v>45890</v>
      </c>
      <c r="C125" s="8">
        <v>105563.9</v>
      </c>
      <c r="D125" s="19" t="s">
        <v>56</v>
      </c>
      <c r="E125" s="18" t="s">
        <v>47</v>
      </c>
      <c r="F125" s="9" t="s">
        <v>39</v>
      </c>
      <c r="G125" s="9" t="s">
        <v>22</v>
      </c>
      <c r="H125" s="9" t="s">
        <v>23</v>
      </c>
      <c r="I125" s="9" t="s">
        <v>24</v>
      </c>
      <c r="J125" s="9">
        <f t="shared" si="2"/>
        <v>8</v>
      </c>
      <c r="K125" s="8">
        <f t="shared" si="3"/>
        <v>10.56</v>
      </c>
    </row>
    <row r="126" customHeight="1" spans="1:11">
      <c r="A126" s="37" t="s">
        <v>75</v>
      </c>
      <c r="B126" s="11">
        <v>45896</v>
      </c>
      <c r="C126" s="8">
        <v>680</v>
      </c>
      <c r="D126" s="19" t="s">
        <v>80</v>
      </c>
      <c r="E126" s="41" t="s">
        <v>83</v>
      </c>
      <c r="F126" s="9" t="s">
        <v>82</v>
      </c>
      <c r="G126" s="35" t="s">
        <v>9</v>
      </c>
      <c r="H126" s="35" t="s">
        <v>10</v>
      </c>
      <c r="I126" s="35" t="s">
        <v>8</v>
      </c>
      <c r="J126" s="9">
        <f t="shared" si="2"/>
        <v>8</v>
      </c>
      <c r="K126" s="38">
        <f t="shared" si="3"/>
        <v>0.07</v>
      </c>
    </row>
    <row r="127" customHeight="1" spans="1:11">
      <c r="A127" s="37" t="s">
        <v>75</v>
      </c>
      <c r="B127" s="11">
        <v>45878</v>
      </c>
      <c r="C127" s="38">
        <v>29.9</v>
      </c>
      <c r="D127" s="19" t="s">
        <v>92</v>
      </c>
      <c r="E127" s="41" t="s">
        <v>93</v>
      </c>
      <c r="F127" s="9" t="s">
        <v>82</v>
      </c>
      <c r="G127" s="35" t="s">
        <v>16</v>
      </c>
      <c r="H127" s="35" t="s">
        <v>17</v>
      </c>
      <c r="I127" s="35" t="s">
        <v>8</v>
      </c>
      <c r="J127" s="9">
        <f t="shared" si="2"/>
        <v>8</v>
      </c>
      <c r="K127" s="38">
        <f t="shared" si="3"/>
        <v>0</v>
      </c>
    </row>
    <row r="128" customHeight="1" spans="1:11">
      <c r="A128" s="37" t="s">
        <v>75</v>
      </c>
      <c r="B128" s="11">
        <v>45890</v>
      </c>
      <c r="C128" s="38">
        <v>59.8</v>
      </c>
      <c r="D128" s="19" t="s">
        <v>92</v>
      </c>
      <c r="E128" s="41" t="s">
        <v>93</v>
      </c>
      <c r="F128" s="9" t="s">
        <v>82</v>
      </c>
      <c r="G128" s="35" t="s">
        <v>16</v>
      </c>
      <c r="H128" s="35" t="s">
        <v>17</v>
      </c>
      <c r="I128" s="35" t="s">
        <v>8</v>
      </c>
      <c r="J128" s="9">
        <f t="shared" si="2"/>
        <v>8</v>
      </c>
      <c r="K128" s="38">
        <f t="shared" si="3"/>
        <v>0.01</v>
      </c>
    </row>
    <row r="129" customHeight="1" spans="1:11">
      <c r="A129" s="37" t="s">
        <v>75</v>
      </c>
      <c r="B129" s="11">
        <v>45896</v>
      </c>
      <c r="C129" s="38">
        <v>59.8</v>
      </c>
      <c r="D129" s="19" t="s">
        <v>92</v>
      </c>
      <c r="E129" s="41" t="s">
        <v>93</v>
      </c>
      <c r="F129" s="9" t="s">
        <v>82</v>
      </c>
      <c r="G129" s="35" t="s">
        <v>16</v>
      </c>
      <c r="H129" s="35" t="s">
        <v>17</v>
      </c>
      <c r="I129" s="35" t="s">
        <v>8</v>
      </c>
      <c r="J129" s="9">
        <f t="shared" si="2"/>
        <v>8</v>
      </c>
      <c r="K129" s="38">
        <f t="shared" si="3"/>
        <v>0.01</v>
      </c>
    </row>
    <row r="130" customHeight="1" spans="1:11">
      <c r="A130" s="39" t="s">
        <v>87</v>
      </c>
      <c r="B130" s="11">
        <v>45870</v>
      </c>
      <c r="C130" s="8">
        <f>365*13</f>
        <v>4745</v>
      </c>
      <c r="D130" s="19" t="s">
        <v>11</v>
      </c>
      <c r="E130" s="19" t="s">
        <v>11</v>
      </c>
      <c r="F130" s="9" t="s">
        <v>82</v>
      </c>
      <c r="G130" s="35" t="s">
        <v>9</v>
      </c>
      <c r="H130" s="35" t="s">
        <v>11</v>
      </c>
      <c r="I130" s="35" t="s">
        <v>12</v>
      </c>
      <c r="J130" s="9">
        <f t="shared" ref="J130:J193" si="4">MONTH(B130)</f>
        <v>8</v>
      </c>
      <c r="K130" s="8">
        <f t="shared" ref="K130:K193" si="5">ROUND(C130/10000,2)</f>
        <v>0.47</v>
      </c>
    </row>
    <row r="131" customHeight="1" spans="1:11">
      <c r="A131" s="39" t="s">
        <v>87</v>
      </c>
      <c r="B131" s="11">
        <v>45871</v>
      </c>
      <c r="C131" s="10">
        <f>-365*2</f>
        <v>-730</v>
      </c>
      <c r="D131" s="19" t="s">
        <v>11</v>
      </c>
      <c r="E131" s="19" t="s">
        <v>11</v>
      </c>
      <c r="F131" s="9" t="s">
        <v>82</v>
      </c>
      <c r="G131" s="35" t="s">
        <v>9</v>
      </c>
      <c r="H131" s="35" t="s">
        <v>11</v>
      </c>
      <c r="I131" s="35" t="s">
        <v>12</v>
      </c>
      <c r="J131" s="9">
        <f t="shared" si="4"/>
        <v>8</v>
      </c>
      <c r="K131" s="8">
        <f t="shared" si="5"/>
        <v>-0.07</v>
      </c>
    </row>
    <row r="132" customHeight="1" spans="1:11">
      <c r="A132" s="39" t="s">
        <v>87</v>
      </c>
      <c r="B132" s="11">
        <v>45871</v>
      </c>
      <c r="C132" s="8">
        <f>365*2</f>
        <v>730</v>
      </c>
      <c r="D132" s="19" t="s">
        <v>11</v>
      </c>
      <c r="E132" s="19" t="s">
        <v>11</v>
      </c>
      <c r="F132" s="9" t="s">
        <v>82</v>
      </c>
      <c r="G132" s="35" t="s">
        <v>9</v>
      </c>
      <c r="H132" s="35" t="s">
        <v>11</v>
      </c>
      <c r="I132" s="35" t="s">
        <v>12</v>
      </c>
      <c r="J132" s="9">
        <f t="shared" si="4"/>
        <v>8</v>
      </c>
      <c r="K132" s="8">
        <f t="shared" si="5"/>
        <v>0.07</v>
      </c>
    </row>
    <row r="133" customHeight="1" spans="1:11">
      <c r="A133" s="39" t="s">
        <v>87</v>
      </c>
      <c r="B133" s="11">
        <v>45872</v>
      </c>
      <c r="C133" s="8">
        <f>365*2</f>
        <v>730</v>
      </c>
      <c r="D133" s="19" t="s">
        <v>11</v>
      </c>
      <c r="E133" s="19" t="s">
        <v>11</v>
      </c>
      <c r="F133" s="9" t="s">
        <v>82</v>
      </c>
      <c r="G133" s="35" t="s">
        <v>9</v>
      </c>
      <c r="H133" s="35" t="s">
        <v>11</v>
      </c>
      <c r="I133" s="35" t="s">
        <v>12</v>
      </c>
      <c r="J133" s="9">
        <f t="shared" si="4"/>
        <v>8</v>
      </c>
      <c r="K133" s="8">
        <f t="shared" si="5"/>
        <v>0.07</v>
      </c>
    </row>
    <row r="134" customHeight="1" spans="1:11">
      <c r="A134" s="39" t="s">
        <v>87</v>
      </c>
      <c r="B134" s="11">
        <v>45873</v>
      </c>
      <c r="C134" s="8">
        <f>365*2</f>
        <v>730</v>
      </c>
      <c r="D134" s="19" t="s">
        <v>11</v>
      </c>
      <c r="E134" s="19" t="s">
        <v>11</v>
      </c>
      <c r="F134" s="9" t="s">
        <v>82</v>
      </c>
      <c r="G134" s="35" t="s">
        <v>9</v>
      </c>
      <c r="H134" s="35" t="s">
        <v>11</v>
      </c>
      <c r="I134" s="35" t="s">
        <v>12</v>
      </c>
      <c r="J134" s="9">
        <f t="shared" si="4"/>
        <v>8</v>
      </c>
      <c r="K134" s="8">
        <f t="shared" si="5"/>
        <v>0.07</v>
      </c>
    </row>
    <row r="135" customHeight="1" spans="1:11">
      <c r="A135" s="39" t="s">
        <v>87</v>
      </c>
      <c r="B135" s="11">
        <v>45874</v>
      </c>
      <c r="C135" s="8">
        <f>365*2</f>
        <v>730</v>
      </c>
      <c r="D135" s="19" t="s">
        <v>11</v>
      </c>
      <c r="E135" s="19" t="s">
        <v>11</v>
      </c>
      <c r="F135" s="9" t="s">
        <v>82</v>
      </c>
      <c r="G135" s="35" t="s">
        <v>9</v>
      </c>
      <c r="H135" s="35" t="s">
        <v>11</v>
      </c>
      <c r="I135" s="35" t="s">
        <v>12</v>
      </c>
      <c r="J135" s="9">
        <f t="shared" si="4"/>
        <v>8</v>
      </c>
      <c r="K135" s="8">
        <f t="shared" si="5"/>
        <v>0.07</v>
      </c>
    </row>
    <row r="136" customHeight="1" spans="1:11">
      <c r="A136" s="39" t="s">
        <v>87</v>
      </c>
      <c r="B136" s="11">
        <v>45875</v>
      </c>
      <c r="C136" s="10">
        <f>-365*1</f>
        <v>-365</v>
      </c>
      <c r="D136" s="19" t="s">
        <v>11</v>
      </c>
      <c r="E136" s="19" t="s">
        <v>11</v>
      </c>
      <c r="F136" s="9" t="s">
        <v>82</v>
      </c>
      <c r="G136" s="35" t="s">
        <v>9</v>
      </c>
      <c r="H136" s="35" t="s">
        <v>11</v>
      </c>
      <c r="I136" s="35" t="s">
        <v>12</v>
      </c>
      <c r="J136" s="9">
        <f t="shared" si="4"/>
        <v>8</v>
      </c>
      <c r="K136" s="8">
        <f t="shared" si="5"/>
        <v>-0.04</v>
      </c>
    </row>
    <row r="137" customHeight="1" spans="1:11">
      <c r="A137" s="39" t="s">
        <v>87</v>
      </c>
      <c r="B137" s="11">
        <v>45875</v>
      </c>
      <c r="C137" s="8">
        <f>365*1</f>
        <v>365</v>
      </c>
      <c r="D137" s="19" t="s">
        <v>11</v>
      </c>
      <c r="E137" s="19" t="s">
        <v>11</v>
      </c>
      <c r="F137" s="9" t="s">
        <v>82</v>
      </c>
      <c r="G137" s="35" t="s">
        <v>9</v>
      </c>
      <c r="H137" s="35" t="s">
        <v>11</v>
      </c>
      <c r="I137" s="35" t="s">
        <v>12</v>
      </c>
      <c r="J137" s="9">
        <f t="shared" si="4"/>
        <v>8</v>
      </c>
      <c r="K137" s="8">
        <f t="shared" si="5"/>
        <v>0.04</v>
      </c>
    </row>
    <row r="138" customHeight="1" spans="1:11">
      <c r="A138" s="39" t="s">
        <v>87</v>
      </c>
      <c r="B138" s="11">
        <v>45877</v>
      </c>
      <c r="C138" s="8">
        <f>365*2</f>
        <v>730</v>
      </c>
      <c r="D138" s="19" t="s">
        <v>11</v>
      </c>
      <c r="E138" s="19" t="s">
        <v>11</v>
      </c>
      <c r="F138" s="9" t="s">
        <v>82</v>
      </c>
      <c r="G138" s="35" t="s">
        <v>9</v>
      </c>
      <c r="H138" s="35" t="s">
        <v>11</v>
      </c>
      <c r="I138" s="35" t="s">
        <v>12</v>
      </c>
      <c r="J138" s="9">
        <f t="shared" si="4"/>
        <v>8</v>
      </c>
      <c r="K138" s="8">
        <f t="shared" si="5"/>
        <v>0.07</v>
      </c>
    </row>
    <row r="139" customHeight="1" spans="1:11">
      <c r="A139" s="39" t="s">
        <v>87</v>
      </c>
      <c r="B139" s="11">
        <v>45878</v>
      </c>
      <c r="C139" s="8">
        <f>365*1</f>
        <v>365</v>
      </c>
      <c r="D139" s="19" t="s">
        <v>11</v>
      </c>
      <c r="E139" s="19" t="s">
        <v>11</v>
      </c>
      <c r="F139" s="9" t="s">
        <v>82</v>
      </c>
      <c r="G139" s="35" t="s">
        <v>9</v>
      </c>
      <c r="H139" s="35" t="s">
        <v>11</v>
      </c>
      <c r="I139" s="35" t="s">
        <v>12</v>
      </c>
      <c r="J139" s="9">
        <f t="shared" si="4"/>
        <v>8</v>
      </c>
      <c r="K139" s="8">
        <f t="shared" si="5"/>
        <v>0.04</v>
      </c>
    </row>
    <row r="140" customHeight="1" spans="1:11">
      <c r="A140" s="39" t="s">
        <v>87</v>
      </c>
      <c r="B140" s="11">
        <v>45881</v>
      </c>
      <c r="C140" s="8">
        <f>365*1</f>
        <v>365</v>
      </c>
      <c r="D140" s="19" t="s">
        <v>11</v>
      </c>
      <c r="E140" s="19" t="s">
        <v>11</v>
      </c>
      <c r="F140" s="9" t="s">
        <v>82</v>
      </c>
      <c r="G140" s="35" t="s">
        <v>9</v>
      </c>
      <c r="H140" s="35" t="s">
        <v>11</v>
      </c>
      <c r="I140" s="35" t="s">
        <v>12</v>
      </c>
      <c r="J140" s="9">
        <f t="shared" si="4"/>
        <v>8</v>
      </c>
      <c r="K140" s="8">
        <f t="shared" si="5"/>
        <v>0.04</v>
      </c>
    </row>
    <row r="141" customHeight="1" spans="1:11">
      <c r="A141" s="39" t="s">
        <v>87</v>
      </c>
      <c r="B141" s="11">
        <v>45882</v>
      </c>
      <c r="C141" s="8">
        <f>365*2</f>
        <v>730</v>
      </c>
      <c r="D141" s="19" t="s">
        <v>11</v>
      </c>
      <c r="E141" s="19" t="s">
        <v>11</v>
      </c>
      <c r="F141" s="9" t="s">
        <v>82</v>
      </c>
      <c r="G141" s="35" t="s">
        <v>9</v>
      </c>
      <c r="H141" s="35" t="s">
        <v>11</v>
      </c>
      <c r="I141" s="35" t="s">
        <v>12</v>
      </c>
      <c r="J141" s="9">
        <f t="shared" si="4"/>
        <v>8</v>
      </c>
      <c r="K141" s="8">
        <f t="shared" si="5"/>
        <v>0.07</v>
      </c>
    </row>
    <row r="142" customHeight="1" spans="1:11">
      <c r="A142" s="39" t="s">
        <v>87</v>
      </c>
      <c r="B142" s="11">
        <v>45883</v>
      </c>
      <c r="C142" s="8">
        <f>365*3</f>
        <v>1095</v>
      </c>
      <c r="D142" s="19" t="s">
        <v>11</v>
      </c>
      <c r="E142" s="19" t="s">
        <v>11</v>
      </c>
      <c r="F142" s="9" t="s">
        <v>82</v>
      </c>
      <c r="G142" s="35" t="s">
        <v>9</v>
      </c>
      <c r="H142" s="35" t="s">
        <v>11</v>
      </c>
      <c r="I142" s="35" t="s">
        <v>12</v>
      </c>
      <c r="J142" s="9">
        <f t="shared" si="4"/>
        <v>8</v>
      </c>
      <c r="K142" s="8">
        <f t="shared" si="5"/>
        <v>0.11</v>
      </c>
    </row>
    <row r="143" customHeight="1" spans="1:11">
      <c r="A143" s="39" t="s">
        <v>87</v>
      </c>
      <c r="B143" s="11">
        <v>45883</v>
      </c>
      <c r="C143" s="10">
        <f>-365*2</f>
        <v>-730</v>
      </c>
      <c r="D143" s="19" t="s">
        <v>11</v>
      </c>
      <c r="E143" s="19" t="s">
        <v>11</v>
      </c>
      <c r="F143" s="9" t="s">
        <v>82</v>
      </c>
      <c r="G143" s="35" t="s">
        <v>9</v>
      </c>
      <c r="H143" s="35" t="s">
        <v>11</v>
      </c>
      <c r="I143" s="35" t="s">
        <v>12</v>
      </c>
      <c r="J143" s="9">
        <f t="shared" si="4"/>
        <v>8</v>
      </c>
      <c r="K143" s="8">
        <f t="shared" si="5"/>
        <v>-0.07</v>
      </c>
    </row>
    <row r="144" customHeight="1" spans="1:11">
      <c r="A144" s="39" t="s">
        <v>87</v>
      </c>
      <c r="B144" s="11">
        <v>45885</v>
      </c>
      <c r="C144" s="8">
        <f>365*1</f>
        <v>365</v>
      </c>
      <c r="D144" s="19" t="s">
        <v>11</v>
      </c>
      <c r="E144" s="19" t="s">
        <v>11</v>
      </c>
      <c r="F144" s="9" t="s">
        <v>82</v>
      </c>
      <c r="G144" s="35" t="s">
        <v>9</v>
      </c>
      <c r="H144" s="35" t="s">
        <v>11</v>
      </c>
      <c r="I144" s="35" t="s">
        <v>12</v>
      </c>
      <c r="J144" s="9">
        <f t="shared" si="4"/>
        <v>8</v>
      </c>
      <c r="K144" s="8">
        <f t="shared" si="5"/>
        <v>0.04</v>
      </c>
    </row>
    <row r="145" customHeight="1" spans="1:11">
      <c r="A145" s="39" t="s">
        <v>87</v>
      </c>
      <c r="B145" s="11">
        <v>45886</v>
      </c>
      <c r="C145" s="10">
        <f>-365*1</f>
        <v>-365</v>
      </c>
      <c r="D145" s="19" t="s">
        <v>11</v>
      </c>
      <c r="E145" s="19" t="s">
        <v>11</v>
      </c>
      <c r="F145" s="9" t="s">
        <v>82</v>
      </c>
      <c r="G145" s="35" t="s">
        <v>9</v>
      </c>
      <c r="H145" s="35" t="s">
        <v>11</v>
      </c>
      <c r="I145" s="35" t="s">
        <v>12</v>
      </c>
      <c r="J145" s="9">
        <f t="shared" si="4"/>
        <v>8</v>
      </c>
      <c r="K145" s="8">
        <f t="shared" si="5"/>
        <v>-0.04</v>
      </c>
    </row>
    <row r="146" customHeight="1" spans="1:11">
      <c r="A146" s="39" t="s">
        <v>87</v>
      </c>
      <c r="B146" s="11">
        <v>45886</v>
      </c>
      <c r="C146" s="8">
        <f>365*1</f>
        <v>365</v>
      </c>
      <c r="D146" s="19" t="s">
        <v>11</v>
      </c>
      <c r="E146" s="19" t="s">
        <v>11</v>
      </c>
      <c r="F146" s="9" t="s">
        <v>82</v>
      </c>
      <c r="G146" s="35" t="s">
        <v>9</v>
      </c>
      <c r="H146" s="35" t="s">
        <v>11</v>
      </c>
      <c r="I146" s="35" t="s">
        <v>12</v>
      </c>
      <c r="J146" s="9">
        <f t="shared" si="4"/>
        <v>8</v>
      </c>
      <c r="K146" s="8">
        <f t="shared" si="5"/>
        <v>0.04</v>
      </c>
    </row>
    <row r="147" customHeight="1" spans="1:11">
      <c r="A147" s="39" t="s">
        <v>87</v>
      </c>
      <c r="B147" s="11">
        <v>45888</v>
      </c>
      <c r="C147" s="8">
        <f>365*1</f>
        <v>365</v>
      </c>
      <c r="D147" s="19" t="s">
        <v>11</v>
      </c>
      <c r="E147" s="19" t="s">
        <v>11</v>
      </c>
      <c r="F147" s="9" t="s">
        <v>82</v>
      </c>
      <c r="G147" s="35" t="s">
        <v>9</v>
      </c>
      <c r="H147" s="35" t="s">
        <v>11</v>
      </c>
      <c r="I147" s="35" t="s">
        <v>12</v>
      </c>
      <c r="J147" s="9">
        <f t="shared" si="4"/>
        <v>8</v>
      </c>
      <c r="K147" s="8">
        <f t="shared" si="5"/>
        <v>0.04</v>
      </c>
    </row>
    <row r="148" customHeight="1" spans="1:11">
      <c r="A148" s="39" t="s">
        <v>87</v>
      </c>
      <c r="B148" s="11">
        <v>45888</v>
      </c>
      <c r="C148" s="10">
        <f>-365*1</f>
        <v>-365</v>
      </c>
      <c r="D148" s="19" t="s">
        <v>11</v>
      </c>
      <c r="E148" s="19" t="s">
        <v>11</v>
      </c>
      <c r="F148" s="9" t="s">
        <v>82</v>
      </c>
      <c r="G148" s="35" t="s">
        <v>9</v>
      </c>
      <c r="H148" s="35" t="s">
        <v>11</v>
      </c>
      <c r="I148" s="35" t="s">
        <v>12</v>
      </c>
      <c r="J148" s="9">
        <f t="shared" si="4"/>
        <v>8</v>
      </c>
      <c r="K148" s="8">
        <f t="shared" si="5"/>
        <v>-0.04</v>
      </c>
    </row>
    <row r="149" customHeight="1" spans="1:11">
      <c r="A149" s="39" t="s">
        <v>87</v>
      </c>
      <c r="B149" s="11">
        <v>45889</v>
      </c>
      <c r="C149" s="10">
        <f>-365*1</f>
        <v>-365</v>
      </c>
      <c r="D149" s="19" t="s">
        <v>11</v>
      </c>
      <c r="E149" s="19" t="s">
        <v>11</v>
      </c>
      <c r="F149" s="9" t="s">
        <v>82</v>
      </c>
      <c r="G149" s="35" t="s">
        <v>9</v>
      </c>
      <c r="H149" s="35" t="s">
        <v>11</v>
      </c>
      <c r="I149" s="35" t="s">
        <v>12</v>
      </c>
      <c r="J149" s="9">
        <f t="shared" si="4"/>
        <v>8</v>
      </c>
      <c r="K149" s="8">
        <f t="shared" si="5"/>
        <v>-0.04</v>
      </c>
    </row>
    <row r="150" customHeight="1" spans="1:11">
      <c r="A150" s="39" t="s">
        <v>87</v>
      </c>
      <c r="B150" s="11">
        <v>45889</v>
      </c>
      <c r="C150" s="8">
        <f>365*1</f>
        <v>365</v>
      </c>
      <c r="D150" s="19" t="s">
        <v>11</v>
      </c>
      <c r="E150" s="19" t="s">
        <v>11</v>
      </c>
      <c r="F150" s="9" t="s">
        <v>82</v>
      </c>
      <c r="G150" s="35" t="s">
        <v>9</v>
      </c>
      <c r="H150" s="35" t="s">
        <v>11</v>
      </c>
      <c r="I150" s="35" t="s">
        <v>12</v>
      </c>
      <c r="J150" s="9">
        <f t="shared" si="4"/>
        <v>8</v>
      </c>
      <c r="K150" s="8">
        <f t="shared" si="5"/>
        <v>0.04</v>
      </c>
    </row>
    <row r="151" customHeight="1" spans="1:11">
      <c r="A151" s="39" t="s">
        <v>87</v>
      </c>
      <c r="B151" s="11">
        <v>45890</v>
      </c>
      <c r="C151" s="8">
        <f>365*2</f>
        <v>730</v>
      </c>
      <c r="D151" s="19" t="s">
        <v>11</v>
      </c>
      <c r="E151" s="19" t="s">
        <v>11</v>
      </c>
      <c r="F151" s="9" t="s">
        <v>82</v>
      </c>
      <c r="G151" s="35" t="s">
        <v>9</v>
      </c>
      <c r="H151" s="35" t="s">
        <v>11</v>
      </c>
      <c r="I151" s="35" t="s">
        <v>12</v>
      </c>
      <c r="J151" s="9">
        <f t="shared" si="4"/>
        <v>8</v>
      </c>
      <c r="K151" s="8">
        <f t="shared" si="5"/>
        <v>0.07</v>
      </c>
    </row>
    <row r="152" customHeight="1" spans="1:11">
      <c r="A152" s="39" t="s">
        <v>87</v>
      </c>
      <c r="B152" s="11">
        <v>45890</v>
      </c>
      <c r="C152" s="8">
        <v>1088</v>
      </c>
      <c r="D152" s="40" t="s">
        <v>18</v>
      </c>
      <c r="E152" s="19" t="s">
        <v>11</v>
      </c>
      <c r="F152" s="9" t="s">
        <v>82</v>
      </c>
      <c r="G152" s="35" t="s">
        <v>16</v>
      </c>
      <c r="H152" s="35" t="s">
        <v>18</v>
      </c>
      <c r="I152" s="35" t="s">
        <v>8</v>
      </c>
      <c r="J152" s="9">
        <f t="shared" si="4"/>
        <v>8</v>
      </c>
      <c r="K152" s="38">
        <f t="shared" si="5"/>
        <v>0.11</v>
      </c>
    </row>
    <row r="153" customHeight="1" spans="1:11">
      <c r="A153" s="39" t="s">
        <v>87</v>
      </c>
      <c r="B153" s="11">
        <v>45891</v>
      </c>
      <c r="C153" s="8">
        <f>365*2</f>
        <v>730</v>
      </c>
      <c r="D153" s="19" t="s">
        <v>11</v>
      </c>
      <c r="E153" s="19" t="s">
        <v>11</v>
      </c>
      <c r="F153" s="9" t="s">
        <v>82</v>
      </c>
      <c r="G153" s="35" t="s">
        <v>9</v>
      </c>
      <c r="H153" s="35" t="s">
        <v>11</v>
      </c>
      <c r="I153" s="35" t="s">
        <v>12</v>
      </c>
      <c r="J153" s="9">
        <f t="shared" si="4"/>
        <v>8</v>
      </c>
      <c r="K153" s="8">
        <f t="shared" si="5"/>
        <v>0.07</v>
      </c>
    </row>
    <row r="154" customHeight="1" spans="1:11">
      <c r="A154" s="39" t="s">
        <v>87</v>
      </c>
      <c r="B154" s="11">
        <v>45892</v>
      </c>
      <c r="C154" s="8">
        <f>365*1</f>
        <v>365</v>
      </c>
      <c r="D154" s="19" t="s">
        <v>11</v>
      </c>
      <c r="E154" s="19" t="s">
        <v>11</v>
      </c>
      <c r="F154" s="9" t="s">
        <v>82</v>
      </c>
      <c r="G154" s="35" t="s">
        <v>9</v>
      </c>
      <c r="H154" s="35" t="s">
        <v>11</v>
      </c>
      <c r="I154" s="35" t="s">
        <v>12</v>
      </c>
      <c r="J154" s="9">
        <f t="shared" si="4"/>
        <v>8</v>
      </c>
      <c r="K154" s="8">
        <f t="shared" si="5"/>
        <v>0.04</v>
      </c>
    </row>
    <row r="155" customHeight="1" spans="1:11">
      <c r="A155" s="39" t="s">
        <v>87</v>
      </c>
      <c r="B155" s="11">
        <v>45893</v>
      </c>
      <c r="C155" s="8">
        <f>365*4</f>
        <v>1460</v>
      </c>
      <c r="D155" s="19" t="s">
        <v>11</v>
      </c>
      <c r="E155" s="19" t="s">
        <v>11</v>
      </c>
      <c r="F155" s="9" t="s">
        <v>82</v>
      </c>
      <c r="G155" s="35" t="s">
        <v>9</v>
      </c>
      <c r="H155" s="35" t="s">
        <v>11</v>
      </c>
      <c r="I155" s="35" t="s">
        <v>12</v>
      </c>
      <c r="J155" s="9">
        <f t="shared" si="4"/>
        <v>8</v>
      </c>
      <c r="K155" s="8">
        <f t="shared" si="5"/>
        <v>0.15</v>
      </c>
    </row>
    <row r="156" customHeight="1" spans="1:11">
      <c r="A156" s="39" t="s">
        <v>87</v>
      </c>
      <c r="B156" s="11">
        <v>45894</v>
      </c>
      <c r="C156" s="8">
        <f>365*4</f>
        <v>1460</v>
      </c>
      <c r="D156" s="19" t="s">
        <v>11</v>
      </c>
      <c r="E156" s="19" t="s">
        <v>11</v>
      </c>
      <c r="F156" s="9" t="s">
        <v>82</v>
      </c>
      <c r="G156" s="35" t="s">
        <v>9</v>
      </c>
      <c r="H156" s="35" t="s">
        <v>11</v>
      </c>
      <c r="I156" s="35" t="s">
        <v>12</v>
      </c>
      <c r="J156" s="9">
        <f t="shared" si="4"/>
        <v>8</v>
      </c>
      <c r="K156" s="8">
        <f t="shared" si="5"/>
        <v>0.15</v>
      </c>
    </row>
    <row r="157" customHeight="1" spans="1:11">
      <c r="A157" s="39" t="s">
        <v>87</v>
      </c>
      <c r="B157" s="11">
        <v>45894</v>
      </c>
      <c r="C157" s="10">
        <f>-365*1</f>
        <v>-365</v>
      </c>
      <c r="D157" s="19" t="s">
        <v>11</v>
      </c>
      <c r="E157" s="19" t="s">
        <v>11</v>
      </c>
      <c r="F157" s="9" t="s">
        <v>82</v>
      </c>
      <c r="G157" s="35" t="s">
        <v>9</v>
      </c>
      <c r="H157" s="35" t="s">
        <v>11</v>
      </c>
      <c r="I157" s="35" t="s">
        <v>12</v>
      </c>
      <c r="J157" s="9">
        <f t="shared" si="4"/>
        <v>8</v>
      </c>
      <c r="K157" s="8">
        <f t="shared" si="5"/>
        <v>-0.04</v>
      </c>
    </row>
    <row r="158" customHeight="1" spans="1:11">
      <c r="A158" s="39" t="s">
        <v>87</v>
      </c>
      <c r="B158" s="11">
        <v>45895</v>
      </c>
      <c r="C158" s="8">
        <f>365*12</f>
        <v>4380</v>
      </c>
      <c r="D158" s="19" t="s">
        <v>11</v>
      </c>
      <c r="E158" s="19" t="s">
        <v>11</v>
      </c>
      <c r="F158" s="9" t="s">
        <v>82</v>
      </c>
      <c r="G158" s="35" t="s">
        <v>9</v>
      </c>
      <c r="H158" s="35" t="s">
        <v>11</v>
      </c>
      <c r="I158" s="35" t="s">
        <v>12</v>
      </c>
      <c r="J158" s="9">
        <f t="shared" si="4"/>
        <v>8</v>
      </c>
      <c r="K158" s="8">
        <f t="shared" si="5"/>
        <v>0.44</v>
      </c>
    </row>
    <row r="159" customHeight="1" spans="1:11">
      <c r="A159" s="39" t="s">
        <v>87</v>
      </c>
      <c r="B159" s="11">
        <v>45896</v>
      </c>
      <c r="C159" s="10">
        <f>-365*2</f>
        <v>-730</v>
      </c>
      <c r="D159" s="19" t="s">
        <v>11</v>
      </c>
      <c r="E159" s="19" t="s">
        <v>11</v>
      </c>
      <c r="F159" s="9" t="s">
        <v>82</v>
      </c>
      <c r="G159" s="35" t="s">
        <v>9</v>
      </c>
      <c r="H159" s="35" t="s">
        <v>11</v>
      </c>
      <c r="I159" s="35" t="s">
        <v>12</v>
      </c>
      <c r="J159" s="9">
        <f t="shared" si="4"/>
        <v>8</v>
      </c>
      <c r="K159" s="8">
        <f t="shared" si="5"/>
        <v>-0.07</v>
      </c>
    </row>
    <row r="160" customHeight="1" spans="1:11">
      <c r="A160" s="39" t="s">
        <v>87</v>
      </c>
      <c r="B160" s="11">
        <v>45896</v>
      </c>
      <c r="C160" s="8">
        <f>365*22</f>
        <v>8030</v>
      </c>
      <c r="D160" s="19" t="s">
        <v>11</v>
      </c>
      <c r="E160" s="19" t="s">
        <v>11</v>
      </c>
      <c r="F160" s="9" t="s">
        <v>82</v>
      </c>
      <c r="G160" s="35" t="s">
        <v>9</v>
      </c>
      <c r="H160" s="35" t="s">
        <v>11</v>
      </c>
      <c r="I160" s="35" t="s">
        <v>12</v>
      </c>
      <c r="J160" s="9">
        <f t="shared" si="4"/>
        <v>8</v>
      </c>
      <c r="K160" s="8">
        <f t="shared" si="5"/>
        <v>0.8</v>
      </c>
    </row>
    <row r="161" customHeight="1" spans="1:11">
      <c r="A161" s="39" t="s">
        <v>87</v>
      </c>
      <c r="B161" s="11">
        <v>45897</v>
      </c>
      <c r="C161" s="10">
        <f>-365*1</f>
        <v>-365</v>
      </c>
      <c r="D161" s="19" t="s">
        <v>11</v>
      </c>
      <c r="E161" s="19" t="s">
        <v>11</v>
      </c>
      <c r="F161" s="9" t="s">
        <v>82</v>
      </c>
      <c r="G161" s="35" t="s">
        <v>9</v>
      </c>
      <c r="H161" s="35" t="s">
        <v>11</v>
      </c>
      <c r="I161" s="35" t="s">
        <v>12</v>
      </c>
      <c r="J161" s="9">
        <f t="shared" si="4"/>
        <v>8</v>
      </c>
      <c r="K161" s="8">
        <f t="shared" si="5"/>
        <v>-0.04</v>
      </c>
    </row>
    <row r="162" customHeight="1" spans="1:11">
      <c r="A162" s="39" t="s">
        <v>87</v>
      </c>
      <c r="B162" s="11">
        <v>45897</v>
      </c>
      <c r="C162" s="8">
        <f>365*6</f>
        <v>2190</v>
      </c>
      <c r="D162" s="19" t="s">
        <v>11</v>
      </c>
      <c r="E162" s="19" t="s">
        <v>11</v>
      </c>
      <c r="F162" s="9" t="s">
        <v>82</v>
      </c>
      <c r="G162" s="35" t="s">
        <v>9</v>
      </c>
      <c r="H162" s="35" t="s">
        <v>11</v>
      </c>
      <c r="I162" s="35" t="s">
        <v>12</v>
      </c>
      <c r="J162" s="9">
        <f t="shared" si="4"/>
        <v>8</v>
      </c>
      <c r="K162" s="8">
        <f t="shared" si="5"/>
        <v>0.22</v>
      </c>
    </row>
    <row r="163" customHeight="1" spans="1:11">
      <c r="A163" s="39" t="s">
        <v>87</v>
      </c>
      <c r="B163" s="11">
        <v>45898</v>
      </c>
      <c r="C163" s="8">
        <f>365*7</f>
        <v>2555</v>
      </c>
      <c r="D163" s="19" t="s">
        <v>11</v>
      </c>
      <c r="E163" s="19" t="s">
        <v>11</v>
      </c>
      <c r="F163" s="9" t="s">
        <v>82</v>
      </c>
      <c r="G163" s="35" t="s">
        <v>9</v>
      </c>
      <c r="H163" s="35" t="s">
        <v>11</v>
      </c>
      <c r="I163" s="35" t="s">
        <v>12</v>
      </c>
      <c r="J163" s="9">
        <f t="shared" si="4"/>
        <v>8</v>
      </c>
      <c r="K163" s="8">
        <f t="shared" si="5"/>
        <v>0.26</v>
      </c>
    </row>
    <row r="164" customHeight="1" spans="1:11">
      <c r="A164" s="39" t="s">
        <v>87</v>
      </c>
      <c r="B164" s="11">
        <v>45898</v>
      </c>
      <c r="C164" s="10">
        <f>-365*1</f>
        <v>-365</v>
      </c>
      <c r="D164" s="19" t="s">
        <v>11</v>
      </c>
      <c r="E164" s="19" t="s">
        <v>11</v>
      </c>
      <c r="F164" s="9" t="s">
        <v>82</v>
      </c>
      <c r="G164" s="35" t="s">
        <v>9</v>
      </c>
      <c r="H164" s="35" t="s">
        <v>11</v>
      </c>
      <c r="I164" s="35" t="s">
        <v>12</v>
      </c>
      <c r="J164" s="9">
        <f t="shared" si="4"/>
        <v>8</v>
      </c>
      <c r="K164" s="8">
        <f t="shared" si="5"/>
        <v>-0.04</v>
      </c>
    </row>
    <row r="165" customHeight="1" spans="1:11">
      <c r="A165" s="39" t="s">
        <v>87</v>
      </c>
      <c r="B165" s="11">
        <v>45899</v>
      </c>
      <c r="C165" s="8">
        <f>365*2</f>
        <v>730</v>
      </c>
      <c r="D165" s="19" t="s">
        <v>11</v>
      </c>
      <c r="E165" s="19" t="s">
        <v>11</v>
      </c>
      <c r="F165" s="9" t="s">
        <v>82</v>
      </c>
      <c r="G165" s="35" t="s">
        <v>9</v>
      </c>
      <c r="H165" s="35" t="s">
        <v>11</v>
      </c>
      <c r="I165" s="35" t="s">
        <v>12</v>
      </c>
      <c r="J165" s="9">
        <f t="shared" si="4"/>
        <v>8</v>
      </c>
      <c r="K165" s="8">
        <f t="shared" si="5"/>
        <v>0.07</v>
      </c>
    </row>
    <row r="166" customHeight="1" spans="1:11">
      <c r="A166" s="39" t="s">
        <v>87</v>
      </c>
      <c r="B166" s="11">
        <v>45900</v>
      </c>
      <c r="C166" s="8">
        <f>365*1</f>
        <v>365</v>
      </c>
      <c r="D166" s="19" t="s">
        <v>11</v>
      </c>
      <c r="E166" s="19" t="s">
        <v>11</v>
      </c>
      <c r="F166" s="9" t="s">
        <v>82</v>
      </c>
      <c r="G166" s="35" t="s">
        <v>9</v>
      </c>
      <c r="H166" s="35" t="s">
        <v>11</v>
      </c>
      <c r="I166" s="35" t="s">
        <v>12</v>
      </c>
      <c r="J166" s="9">
        <f t="shared" si="4"/>
        <v>8</v>
      </c>
      <c r="K166" s="8">
        <f t="shared" si="5"/>
        <v>0.04</v>
      </c>
    </row>
    <row r="167" customHeight="1" spans="1:11">
      <c r="A167" s="20" t="s">
        <v>36</v>
      </c>
      <c r="B167" s="11">
        <v>45903</v>
      </c>
      <c r="C167" s="17">
        <v>152167.72</v>
      </c>
      <c r="D167" s="19" t="s">
        <v>42</v>
      </c>
      <c r="E167" s="41" t="s">
        <v>57</v>
      </c>
      <c r="F167" s="9" t="s">
        <v>39</v>
      </c>
      <c r="G167" s="9" t="s">
        <v>22</v>
      </c>
      <c r="H167" s="9" t="s">
        <v>26</v>
      </c>
      <c r="I167" s="9" t="s">
        <v>27</v>
      </c>
      <c r="J167" s="9">
        <f t="shared" si="4"/>
        <v>9</v>
      </c>
      <c r="K167" s="8">
        <f t="shared" si="5"/>
        <v>15.22</v>
      </c>
    </row>
    <row r="168" customHeight="1" spans="1:11">
      <c r="A168" s="20" t="s">
        <v>36</v>
      </c>
      <c r="B168" s="11">
        <v>45903</v>
      </c>
      <c r="C168" s="17">
        <v>70735.22</v>
      </c>
      <c r="D168" s="19" t="s">
        <v>68</v>
      </c>
      <c r="E168" s="41" t="s">
        <v>57</v>
      </c>
      <c r="F168" s="9" t="s">
        <v>39</v>
      </c>
      <c r="G168" s="9" t="s">
        <v>22</v>
      </c>
      <c r="H168" s="9" t="s">
        <v>26</v>
      </c>
      <c r="I168" s="9" t="s">
        <v>27</v>
      </c>
      <c r="J168" s="9">
        <f t="shared" si="4"/>
        <v>9</v>
      </c>
      <c r="K168" s="8">
        <f t="shared" si="5"/>
        <v>7.07</v>
      </c>
    </row>
    <row r="169" customHeight="1" spans="1:11">
      <c r="A169" s="20" t="s">
        <v>36</v>
      </c>
      <c r="B169" s="11">
        <v>45904</v>
      </c>
      <c r="C169" s="17">
        <v>134.95</v>
      </c>
      <c r="D169" s="19" t="s">
        <v>44</v>
      </c>
      <c r="E169" s="41" t="s">
        <v>57</v>
      </c>
      <c r="F169" s="9" t="s">
        <v>39</v>
      </c>
      <c r="G169" s="9" t="s">
        <v>22</v>
      </c>
      <c r="H169" s="9" t="s">
        <v>26</v>
      </c>
      <c r="I169" s="9" t="s">
        <v>28</v>
      </c>
      <c r="J169" s="9">
        <f t="shared" si="4"/>
        <v>9</v>
      </c>
      <c r="K169" s="8">
        <f t="shared" si="5"/>
        <v>0.01</v>
      </c>
    </row>
    <row r="170" customHeight="1" spans="1:11">
      <c r="A170" s="20" t="s">
        <v>36</v>
      </c>
      <c r="B170" s="11" t="s">
        <v>94</v>
      </c>
      <c r="C170" s="17">
        <v>4596.41</v>
      </c>
      <c r="D170" s="19" t="s">
        <v>61</v>
      </c>
      <c r="E170" s="41" t="s">
        <v>47</v>
      </c>
      <c r="F170" s="9" t="s">
        <v>39</v>
      </c>
      <c r="G170" s="9" t="s">
        <v>22</v>
      </c>
      <c r="H170" s="9" t="s">
        <v>23</v>
      </c>
      <c r="I170" s="9" t="s">
        <v>25</v>
      </c>
      <c r="J170" s="9">
        <f t="shared" si="4"/>
        <v>9</v>
      </c>
      <c r="K170" s="8">
        <f t="shared" si="5"/>
        <v>0.46</v>
      </c>
    </row>
    <row r="171" customHeight="1" spans="1:11">
      <c r="A171" s="20" t="s">
        <v>36</v>
      </c>
      <c r="B171" s="11" t="s">
        <v>94</v>
      </c>
      <c r="C171" s="17">
        <v>315451.37</v>
      </c>
      <c r="D171" s="19" t="s">
        <v>58</v>
      </c>
      <c r="E171" s="41" t="s">
        <v>47</v>
      </c>
      <c r="F171" s="9" t="s">
        <v>39</v>
      </c>
      <c r="G171" s="9" t="s">
        <v>22</v>
      </c>
      <c r="H171" s="9" t="s">
        <v>23</v>
      </c>
      <c r="I171" s="9" t="s">
        <v>25</v>
      </c>
      <c r="J171" s="9">
        <f t="shared" si="4"/>
        <v>9</v>
      </c>
      <c r="K171" s="8">
        <f t="shared" si="5"/>
        <v>31.55</v>
      </c>
    </row>
    <row r="172" customHeight="1" spans="1:11">
      <c r="A172" s="20" t="s">
        <v>36</v>
      </c>
      <c r="B172" s="11" t="s">
        <v>94</v>
      </c>
      <c r="C172" s="17">
        <f>1761047.19-315451.37</f>
        <v>1445595.82</v>
      </c>
      <c r="D172" s="19" t="s">
        <v>58</v>
      </c>
      <c r="E172" s="41" t="s">
        <v>47</v>
      </c>
      <c r="F172" s="9" t="s">
        <v>39</v>
      </c>
      <c r="G172" s="9" t="s">
        <v>22</v>
      </c>
      <c r="H172" s="9" t="s">
        <v>23</v>
      </c>
      <c r="I172" s="9" t="s">
        <v>24</v>
      </c>
      <c r="J172" s="9">
        <f t="shared" si="4"/>
        <v>9</v>
      </c>
      <c r="K172" s="8">
        <f t="shared" si="5"/>
        <v>144.56</v>
      </c>
    </row>
    <row r="173" customHeight="1" spans="1:11">
      <c r="A173" s="20" t="s">
        <v>36</v>
      </c>
      <c r="B173" s="11" t="s">
        <v>94</v>
      </c>
      <c r="C173" s="17">
        <v>166879.07</v>
      </c>
      <c r="D173" s="19" t="s">
        <v>59</v>
      </c>
      <c r="E173" s="41" t="s">
        <v>47</v>
      </c>
      <c r="F173" s="9" t="s">
        <v>39</v>
      </c>
      <c r="G173" s="9" t="s">
        <v>22</v>
      </c>
      <c r="H173" s="9" t="s">
        <v>23</v>
      </c>
      <c r="I173" s="9" t="s">
        <v>25</v>
      </c>
      <c r="J173" s="9">
        <f t="shared" si="4"/>
        <v>9</v>
      </c>
      <c r="K173" s="8">
        <f t="shared" si="5"/>
        <v>16.69</v>
      </c>
    </row>
    <row r="174" customHeight="1" spans="1:11">
      <c r="A174" s="20" t="s">
        <v>36</v>
      </c>
      <c r="B174" s="11" t="s">
        <v>94</v>
      </c>
      <c r="C174" s="17">
        <v>876593.8</v>
      </c>
      <c r="D174" s="19" t="s">
        <v>60</v>
      </c>
      <c r="E174" s="41" t="s">
        <v>47</v>
      </c>
      <c r="F174" s="9" t="s">
        <v>39</v>
      </c>
      <c r="G174" s="9" t="s">
        <v>22</v>
      </c>
      <c r="H174" s="9" t="s">
        <v>23</v>
      </c>
      <c r="I174" s="9" t="s">
        <v>24</v>
      </c>
      <c r="J174" s="9">
        <f t="shared" si="4"/>
        <v>9</v>
      </c>
      <c r="K174" s="8">
        <f t="shared" si="5"/>
        <v>87.66</v>
      </c>
    </row>
    <row r="175" customHeight="1" spans="1:11">
      <c r="A175" s="20" t="s">
        <v>36</v>
      </c>
      <c r="B175" s="11">
        <v>45923</v>
      </c>
      <c r="C175" s="17">
        <v>77139.2</v>
      </c>
      <c r="D175" s="19" t="s">
        <v>62</v>
      </c>
      <c r="E175" s="41" t="s">
        <v>63</v>
      </c>
      <c r="F175" s="9" t="s">
        <v>39</v>
      </c>
      <c r="G175" s="9" t="s">
        <v>22</v>
      </c>
      <c r="H175" s="9" t="s">
        <v>23</v>
      </c>
      <c r="I175" s="9" t="s">
        <v>25</v>
      </c>
      <c r="J175" s="9">
        <f t="shared" si="4"/>
        <v>9</v>
      </c>
      <c r="K175" s="8">
        <f t="shared" si="5"/>
        <v>7.71</v>
      </c>
    </row>
    <row r="176" customHeight="1" spans="1:11">
      <c r="A176" s="20" t="s">
        <v>36</v>
      </c>
      <c r="B176" s="11">
        <v>45928</v>
      </c>
      <c r="C176" s="17">
        <v>67366.55</v>
      </c>
      <c r="D176" s="19" t="s">
        <v>64</v>
      </c>
      <c r="E176" s="41" t="s">
        <v>65</v>
      </c>
      <c r="F176" s="9" t="s">
        <v>39</v>
      </c>
      <c r="G176" s="9" t="s">
        <v>22</v>
      </c>
      <c r="H176" s="9" t="s">
        <v>23</v>
      </c>
      <c r="I176" s="9" t="s">
        <v>25</v>
      </c>
      <c r="J176" s="9">
        <f t="shared" si="4"/>
        <v>9</v>
      </c>
      <c r="K176" s="8">
        <f t="shared" si="5"/>
        <v>6.74</v>
      </c>
    </row>
    <row r="177" customHeight="1" spans="1:11">
      <c r="A177" s="37" t="s">
        <v>75</v>
      </c>
      <c r="B177" s="11">
        <v>45908</v>
      </c>
      <c r="C177" s="13">
        <v>299</v>
      </c>
      <c r="D177" s="19" t="s">
        <v>92</v>
      </c>
      <c r="E177" s="41" t="s">
        <v>93</v>
      </c>
      <c r="F177" s="9" t="s">
        <v>82</v>
      </c>
      <c r="G177" s="35" t="s">
        <v>16</v>
      </c>
      <c r="H177" s="35" t="s">
        <v>17</v>
      </c>
      <c r="I177" s="35" t="s">
        <v>8</v>
      </c>
      <c r="J177" s="9">
        <f t="shared" si="4"/>
        <v>9</v>
      </c>
      <c r="K177" s="8">
        <f t="shared" si="5"/>
        <v>0.03</v>
      </c>
    </row>
    <row r="178" customHeight="1" spans="1:11">
      <c r="A178" s="37" t="s">
        <v>75</v>
      </c>
      <c r="B178" s="11">
        <v>45908</v>
      </c>
      <c r="C178" s="13">
        <v>59.8</v>
      </c>
      <c r="D178" s="19" t="s">
        <v>92</v>
      </c>
      <c r="E178" s="41" t="s">
        <v>93</v>
      </c>
      <c r="F178" s="9" t="s">
        <v>82</v>
      </c>
      <c r="G178" s="35" t="s">
        <v>16</v>
      </c>
      <c r="H178" s="35" t="s">
        <v>17</v>
      </c>
      <c r="I178" s="35" t="s">
        <v>8</v>
      </c>
      <c r="J178" s="9">
        <f t="shared" si="4"/>
        <v>9</v>
      </c>
      <c r="K178" s="8">
        <f t="shared" si="5"/>
        <v>0.01</v>
      </c>
    </row>
    <row r="179" customHeight="1" spans="1:11">
      <c r="A179" s="37" t="s">
        <v>75</v>
      </c>
      <c r="B179" s="11">
        <v>45908</v>
      </c>
      <c r="C179" s="13">
        <v>59.8</v>
      </c>
      <c r="D179" s="19" t="s">
        <v>92</v>
      </c>
      <c r="E179" s="41" t="s">
        <v>93</v>
      </c>
      <c r="F179" s="9" t="s">
        <v>82</v>
      </c>
      <c r="G179" s="35" t="s">
        <v>16</v>
      </c>
      <c r="H179" s="35" t="s">
        <v>17</v>
      </c>
      <c r="I179" s="35" t="s">
        <v>8</v>
      </c>
      <c r="J179" s="9">
        <f t="shared" si="4"/>
        <v>9</v>
      </c>
      <c r="K179" s="8">
        <f t="shared" si="5"/>
        <v>0.01</v>
      </c>
    </row>
    <row r="180" customHeight="1" spans="1:11">
      <c r="A180" s="37" t="s">
        <v>75</v>
      </c>
      <c r="B180" s="11">
        <v>45909</v>
      </c>
      <c r="C180" s="13">
        <v>1088</v>
      </c>
      <c r="D180" s="19" t="s">
        <v>80</v>
      </c>
      <c r="E180" s="41" t="s">
        <v>83</v>
      </c>
      <c r="F180" s="9" t="s">
        <v>82</v>
      </c>
      <c r="G180" s="35" t="s">
        <v>9</v>
      </c>
      <c r="H180" s="35" t="s">
        <v>10</v>
      </c>
      <c r="I180" s="35" t="s">
        <v>8</v>
      </c>
      <c r="J180" s="9">
        <f t="shared" si="4"/>
        <v>9</v>
      </c>
      <c r="K180" s="8">
        <f t="shared" si="5"/>
        <v>0.11</v>
      </c>
    </row>
    <row r="181" customHeight="1" spans="1:11">
      <c r="A181" s="37" t="s">
        <v>75</v>
      </c>
      <c r="B181" s="11">
        <v>45911</v>
      </c>
      <c r="C181" s="13">
        <v>299</v>
      </c>
      <c r="D181" s="19" t="s">
        <v>92</v>
      </c>
      <c r="E181" s="41" t="s">
        <v>93</v>
      </c>
      <c r="F181" s="9" t="s">
        <v>82</v>
      </c>
      <c r="G181" s="35" t="s">
        <v>16</v>
      </c>
      <c r="H181" s="35" t="s">
        <v>17</v>
      </c>
      <c r="I181" s="35" t="s">
        <v>8</v>
      </c>
      <c r="J181" s="9">
        <f t="shared" si="4"/>
        <v>9</v>
      </c>
      <c r="K181" s="8">
        <f t="shared" si="5"/>
        <v>0.03</v>
      </c>
    </row>
    <row r="182" customHeight="1" spans="1:11">
      <c r="A182" s="37" t="s">
        <v>75</v>
      </c>
      <c r="B182" s="11">
        <v>45911</v>
      </c>
      <c r="C182" s="13">
        <v>299</v>
      </c>
      <c r="D182" s="19" t="s">
        <v>92</v>
      </c>
      <c r="E182" s="41" t="s">
        <v>93</v>
      </c>
      <c r="F182" s="9" t="s">
        <v>82</v>
      </c>
      <c r="G182" s="35" t="s">
        <v>16</v>
      </c>
      <c r="H182" s="35" t="s">
        <v>17</v>
      </c>
      <c r="I182" s="35" t="s">
        <v>8</v>
      </c>
      <c r="J182" s="9">
        <f t="shared" si="4"/>
        <v>9</v>
      </c>
      <c r="K182" s="8">
        <f t="shared" si="5"/>
        <v>0.03</v>
      </c>
    </row>
    <row r="183" customHeight="1" spans="1:11">
      <c r="A183" s="37" t="s">
        <v>75</v>
      </c>
      <c r="B183" s="11">
        <v>45911</v>
      </c>
      <c r="C183" s="13">
        <v>299</v>
      </c>
      <c r="D183" s="19" t="s">
        <v>92</v>
      </c>
      <c r="E183" s="41" t="s">
        <v>93</v>
      </c>
      <c r="F183" s="9" t="s">
        <v>82</v>
      </c>
      <c r="G183" s="35" t="s">
        <v>16</v>
      </c>
      <c r="H183" s="35" t="s">
        <v>17</v>
      </c>
      <c r="I183" s="35" t="s">
        <v>8</v>
      </c>
      <c r="J183" s="9">
        <f t="shared" si="4"/>
        <v>9</v>
      </c>
      <c r="K183" s="8">
        <f t="shared" si="5"/>
        <v>0.03</v>
      </c>
    </row>
    <row r="184" customHeight="1" spans="1:11">
      <c r="A184" s="37" t="s">
        <v>75</v>
      </c>
      <c r="B184" s="11">
        <v>45916</v>
      </c>
      <c r="C184" s="13">
        <v>59.8</v>
      </c>
      <c r="D184" s="19" t="s">
        <v>92</v>
      </c>
      <c r="E184" s="41" t="s">
        <v>93</v>
      </c>
      <c r="F184" s="9" t="s">
        <v>82</v>
      </c>
      <c r="G184" s="35" t="s">
        <v>16</v>
      </c>
      <c r="H184" s="35" t="s">
        <v>17</v>
      </c>
      <c r="I184" s="35" t="s">
        <v>8</v>
      </c>
      <c r="J184" s="9">
        <f t="shared" si="4"/>
        <v>9</v>
      </c>
      <c r="K184" s="8">
        <f t="shared" si="5"/>
        <v>0.01</v>
      </c>
    </row>
    <row r="185" customHeight="1" spans="1:11">
      <c r="A185" s="37" t="s">
        <v>75</v>
      </c>
      <c r="B185" s="11">
        <v>45920</v>
      </c>
      <c r="C185" s="13">
        <v>299</v>
      </c>
      <c r="D185" s="19" t="s">
        <v>92</v>
      </c>
      <c r="E185" s="41" t="s">
        <v>93</v>
      </c>
      <c r="F185" s="9" t="s">
        <v>82</v>
      </c>
      <c r="G185" s="35" t="s">
        <v>16</v>
      </c>
      <c r="H185" s="35" t="s">
        <v>17</v>
      </c>
      <c r="I185" s="35" t="s">
        <v>8</v>
      </c>
      <c r="J185" s="9">
        <f t="shared" si="4"/>
        <v>9</v>
      </c>
      <c r="K185" s="8">
        <f t="shared" si="5"/>
        <v>0.03</v>
      </c>
    </row>
    <row r="186" customHeight="1" spans="1:11">
      <c r="A186" s="37" t="s">
        <v>75</v>
      </c>
      <c r="B186" s="11">
        <v>45922</v>
      </c>
      <c r="C186" s="13">
        <v>1680</v>
      </c>
      <c r="D186" s="19" t="s">
        <v>80</v>
      </c>
      <c r="E186" s="41" t="s">
        <v>83</v>
      </c>
      <c r="F186" s="9" t="s">
        <v>82</v>
      </c>
      <c r="G186" s="35" t="s">
        <v>9</v>
      </c>
      <c r="H186" s="35" t="s">
        <v>10</v>
      </c>
      <c r="I186" s="35" t="s">
        <v>8</v>
      </c>
      <c r="J186" s="9">
        <f t="shared" si="4"/>
        <v>9</v>
      </c>
      <c r="K186" s="8">
        <f t="shared" si="5"/>
        <v>0.17</v>
      </c>
    </row>
    <row r="187" customHeight="1" spans="1:11">
      <c r="A187" s="37" t="s">
        <v>75</v>
      </c>
      <c r="B187" s="11">
        <v>45926</v>
      </c>
      <c r="C187" s="13">
        <v>128</v>
      </c>
      <c r="D187" s="19" t="s">
        <v>92</v>
      </c>
      <c r="E187" s="41" t="s">
        <v>93</v>
      </c>
      <c r="F187" s="9" t="s">
        <v>82</v>
      </c>
      <c r="G187" s="35" t="s">
        <v>16</v>
      </c>
      <c r="H187" s="35" t="s">
        <v>17</v>
      </c>
      <c r="I187" s="35" t="s">
        <v>8</v>
      </c>
      <c r="J187" s="9">
        <f t="shared" si="4"/>
        <v>9</v>
      </c>
      <c r="K187" s="8">
        <f t="shared" si="5"/>
        <v>0.01</v>
      </c>
    </row>
    <row r="188" customHeight="1" spans="1:11">
      <c r="A188" s="37" t="s">
        <v>75</v>
      </c>
      <c r="B188" s="11">
        <v>45926</v>
      </c>
      <c r="C188" s="13">
        <v>59.8</v>
      </c>
      <c r="D188" s="19" t="s">
        <v>92</v>
      </c>
      <c r="E188" s="41" t="s">
        <v>93</v>
      </c>
      <c r="F188" s="9" t="s">
        <v>82</v>
      </c>
      <c r="G188" s="35" t="s">
        <v>16</v>
      </c>
      <c r="H188" s="35" t="s">
        <v>17</v>
      </c>
      <c r="I188" s="35" t="s">
        <v>8</v>
      </c>
      <c r="J188" s="9">
        <f t="shared" si="4"/>
        <v>9</v>
      </c>
      <c r="K188" s="8">
        <f t="shared" si="5"/>
        <v>0.01</v>
      </c>
    </row>
    <row r="189" customHeight="1" spans="1:11">
      <c r="A189" s="37" t="s">
        <v>75</v>
      </c>
      <c r="B189" s="11">
        <v>45926</v>
      </c>
      <c r="C189" s="13">
        <v>450000</v>
      </c>
      <c r="D189" s="19" t="s">
        <v>95</v>
      </c>
      <c r="E189" s="41" t="s">
        <v>65</v>
      </c>
      <c r="F189" s="9" t="s">
        <v>39</v>
      </c>
      <c r="G189" s="35" t="s">
        <v>20</v>
      </c>
      <c r="H189" s="35" t="s">
        <v>21</v>
      </c>
      <c r="I189" s="35" t="s">
        <v>12</v>
      </c>
      <c r="J189" s="9">
        <f t="shared" si="4"/>
        <v>9</v>
      </c>
      <c r="K189" s="8">
        <f t="shared" si="5"/>
        <v>45</v>
      </c>
    </row>
    <row r="190" customHeight="1" spans="1:11">
      <c r="A190" s="37" t="s">
        <v>75</v>
      </c>
      <c r="B190" s="11">
        <v>45928</v>
      </c>
      <c r="C190" s="13">
        <v>299</v>
      </c>
      <c r="D190" s="19" t="s">
        <v>92</v>
      </c>
      <c r="E190" s="41" t="s">
        <v>93</v>
      </c>
      <c r="F190" s="9" t="s">
        <v>82</v>
      </c>
      <c r="G190" s="35" t="s">
        <v>16</v>
      </c>
      <c r="H190" s="35" t="s">
        <v>17</v>
      </c>
      <c r="I190" s="35" t="s">
        <v>8</v>
      </c>
      <c r="J190" s="9">
        <f t="shared" si="4"/>
        <v>9</v>
      </c>
      <c r="K190" s="8">
        <f t="shared" si="5"/>
        <v>0.03</v>
      </c>
    </row>
    <row r="191" customHeight="1" spans="1:11">
      <c r="A191" s="37" t="s">
        <v>75</v>
      </c>
      <c r="B191" s="11">
        <v>45929</v>
      </c>
      <c r="C191" s="13">
        <v>1088</v>
      </c>
      <c r="D191" s="19" t="s">
        <v>80</v>
      </c>
      <c r="E191" s="41" t="s">
        <v>83</v>
      </c>
      <c r="F191" s="9" t="s">
        <v>82</v>
      </c>
      <c r="G191" s="35" t="s">
        <v>9</v>
      </c>
      <c r="H191" s="35" t="s">
        <v>10</v>
      </c>
      <c r="I191" s="35" t="s">
        <v>8</v>
      </c>
      <c r="J191" s="9">
        <f t="shared" si="4"/>
        <v>9</v>
      </c>
      <c r="K191" s="8">
        <f t="shared" si="5"/>
        <v>0.11</v>
      </c>
    </row>
    <row r="192" customHeight="1" spans="1:11">
      <c r="A192" s="39" t="s">
        <v>87</v>
      </c>
      <c r="B192" s="11">
        <v>45901</v>
      </c>
      <c r="C192" s="13">
        <f>365*6</f>
        <v>2190</v>
      </c>
      <c r="D192" s="19" t="s">
        <v>11</v>
      </c>
      <c r="E192" s="19" t="s">
        <v>11</v>
      </c>
      <c r="F192" s="9" t="s">
        <v>82</v>
      </c>
      <c r="G192" s="35" t="s">
        <v>9</v>
      </c>
      <c r="H192" s="35" t="s">
        <v>11</v>
      </c>
      <c r="I192" s="35" t="s">
        <v>12</v>
      </c>
      <c r="J192" s="9">
        <f t="shared" si="4"/>
        <v>9</v>
      </c>
      <c r="K192" s="8">
        <f t="shared" si="5"/>
        <v>0.22</v>
      </c>
    </row>
    <row r="193" customHeight="1" spans="1:11">
      <c r="A193" s="39" t="s">
        <v>87</v>
      </c>
      <c r="B193" s="11">
        <v>45901</v>
      </c>
      <c r="C193" s="12">
        <f>-365*1</f>
        <v>-365</v>
      </c>
      <c r="D193" s="19" t="s">
        <v>11</v>
      </c>
      <c r="E193" s="19" t="s">
        <v>11</v>
      </c>
      <c r="F193" s="9" t="s">
        <v>82</v>
      </c>
      <c r="G193" s="35" t="s">
        <v>9</v>
      </c>
      <c r="H193" s="35" t="s">
        <v>11</v>
      </c>
      <c r="I193" s="35" t="s">
        <v>12</v>
      </c>
      <c r="J193" s="9">
        <f t="shared" si="4"/>
        <v>9</v>
      </c>
      <c r="K193" s="8">
        <f t="shared" si="5"/>
        <v>-0.04</v>
      </c>
    </row>
    <row r="194" customHeight="1" spans="1:11">
      <c r="A194" s="39" t="s">
        <v>87</v>
      </c>
      <c r="B194" s="11">
        <v>45902</v>
      </c>
      <c r="C194" s="13">
        <f>365*6</f>
        <v>2190</v>
      </c>
      <c r="D194" s="19" t="s">
        <v>11</v>
      </c>
      <c r="E194" s="19" t="s">
        <v>11</v>
      </c>
      <c r="F194" s="9" t="s">
        <v>82</v>
      </c>
      <c r="G194" s="35" t="s">
        <v>9</v>
      </c>
      <c r="H194" s="35" t="s">
        <v>11</v>
      </c>
      <c r="I194" s="35" t="s">
        <v>12</v>
      </c>
      <c r="J194" s="9">
        <f t="shared" ref="J194:J257" si="6">MONTH(B194)</f>
        <v>9</v>
      </c>
      <c r="K194" s="8">
        <f t="shared" ref="K194:K257" si="7">ROUND(C194/10000,2)</f>
        <v>0.22</v>
      </c>
    </row>
    <row r="195" customHeight="1" spans="1:11">
      <c r="A195" s="39" t="s">
        <v>87</v>
      </c>
      <c r="B195" s="11">
        <v>45903</v>
      </c>
      <c r="C195" s="13">
        <f>365*4</f>
        <v>1460</v>
      </c>
      <c r="D195" s="19" t="s">
        <v>11</v>
      </c>
      <c r="E195" s="19" t="s">
        <v>11</v>
      </c>
      <c r="F195" s="9" t="s">
        <v>82</v>
      </c>
      <c r="G195" s="35" t="s">
        <v>9</v>
      </c>
      <c r="H195" s="35" t="s">
        <v>11</v>
      </c>
      <c r="I195" s="35" t="s">
        <v>12</v>
      </c>
      <c r="J195" s="9">
        <f t="shared" si="6"/>
        <v>9</v>
      </c>
      <c r="K195" s="8">
        <f t="shared" si="7"/>
        <v>0.15</v>
      </c>
    </row>
    <row r="196" customHeight="1" spans="1:11">
      <c r="A196" s="39" t="s">
        <v>87</v>
      </c>
      <c r="B196" s="11">
        <v>45904</v>
      </c>
      <c r="C196" s="13">
        <f>365*2</f>
        <v>730</v>
      </c>
      <c r="D196" s="19" t="s">
        <v>11</v>
      </c>
      <c r="E196" s="19" t="s">
        <v>11</v>
      </c>
      <c r="F196" s="9" t="s">
        <v>82</v>
      </c>
      <c r="G196" s="35" t="s">
        <v>9</v>
      </c>
      <c r="H196" s="35" t="s">
        <v>11</v>
      </c>
      <c r="I196" s="35" t="s">
        <v>12</v>
      </c>
      <c r="J196" s="9">
        <f t="shared" si="6"/>
        <v>9</v>
      </c>
      <c r="K196" s="8">
        <f t="shared" si="7"/>
        <v>0.07</v>
      </c>
    </row>
    <row r="197" customHeight="1" spans="1:11">
      <c r="A197" s="39" t="s">
        <v>87</v>
      </c>
      <c r="B197" s="11">
        <v>45904</v>
      </c>
      <c r="C197" s="12">
        <f>-365*1</f>
        <v>-365</v>
      </c>
      <c r="D197" s="19" t="s">
        <v>11</v>
      </c>
      <c r="E197" s="19" t="s">
        <v>11</v>
      </c>
      <c r="F197" s="9" t="s">
        <v>82</v>
      </c>
      <c r="G197" s="35" t="s">
        <v>9</v>
      </c>
      <c r="H197" s="35" t="s">
        <v>11</v>
      </c>
      <c r="I197" s="35" t="s">
        <v>12</v>
      </c>
      <c r="J197" s="9">
        <f t="shared" si="6"/>
        <v>9</v>
      </c>
      <c r="K197" s="8">
        <f t="shared" si="7"/>
        <v>-0.04</v>
      </c>
    </row>
    <row r="198" customHeight="1" spans="1:11">
      <c r="A198" s="39" t="s">
        <v>87</v>
      </c>
      <c r="B198" s="11">
        <v>45905</v>
      </c>
      <c r="C198" s="13">
        <f>365*2</f>
        <v>730</v>
      </c>
      <c r="D198" s="19" t="s">
        <v>11</v>
      </c>
      <c r="E198" s="19" t="s">
        <v>11</v>
      </c>
      <c r="F198" s="9" t="s">
        <v>82</v>
      </c>
      <c r="G198" s="35" t="s">
        <v>9</v>
      </c>
      <c r="H198" s="35" t="s">
        <v>11</v>
      </c>
      <c r="I198" s="35" t="s">
        <v>12</v>
      </c>
      <c r="J198" s="9">
        <f t="shared" si="6"/>
        <v>9</v>
      </c>
      <c r="K198" s="8">
        <f t="shared" si="7"/>
        <v>0.07</v>
      </c>
    </row>
    <row r="199" customHeight="1" spans="1:11">
      <c r="A199" s="39" t="s">
        <v>87</v>
      </c>
      <c r="B199" s="11">
        <v>45906</v>
      </c>
      <c r="C199" s="13">
        <f>365*1</f>
        <v>365</v>
      </c>
      <c r="D199" s="19" t="s">
        <v>11</v>
      </c>
      <c r="E199" s="19" t="s">
        <v>11</v>
      </c>
      <c r="F199" s="9" t="s">
        <v>82</v>
      </c>
      <c r="G199" s="35" t="s">
        <v>9</v>
      </c>
      <c r="H199" s="35" t="s">
        <v>11</v>
      </c>
      <c r="I199" s="35" t="s">
        <v>12</v>
      </c>
      <c r="J199" s="9">
        <f t="shared" si="6"/>
        <v>9</v>
      </c>
      <c r="K199" s="8">
        <f t="shared" si="7"/>
        <v>0.04</v>
      </c>
    </row>
    <row r="200" customHeight="1" spans="1:11">
      <c r="A200" s="39" t="s">
        <v>87</v>
      </c>
      <c r="B200" s="11">
        <v>45907</v>
      </c>
      <c r="C200" s="13">
        <f>365*2</f>
        <v>730</v>
      </c>
      <c r="D200" s="19" t="s">
        <v>11</v>
      </c>
      <c r="E200" s="19" t="s">
        <v>11</v>
      </c>
      <c r="F200" s="9" t="s">
        <v>82</v>
      </c>
      <c r="G200" s="35" t="s">
        <v>9</v>
      </c>
      <c r="H200" s="35" t="s">
        <v>11</v>
      </c>
      <c r="I200" s="35" t="s">
        <v>12</v>
      </c>
      <c r="J200" s="9">
        <f t="shared" si="6"/>
        <v>9</v>
      </c>
      <c r="K200" s="8">
        <f t="shared" si="7"/>
        <v>0.07</v>
      </c>
    </row>
    <row r="201" customHeight="1" spans="1:11">
      <c r="A201" s="39" t="s">
        <v>87</v>
      </c>
      <c r="B201" s="11">
        <v>45908</v>
      </c>
      <c r="C201" s="12">
        <f>-365*1</f>
        <v>-365</v>
      </c>
      <c r="D201" s="19" t="s">
        <v>11</v>
      </c>
      <c r="E201" s="19" t="s">
        <v>11</v>
      </c>
      <c r="F201" s="9" t="s">
        <v>82</v>
      </c>
      <c r="G201" s="35" t="s">
        <v>9</v>
      </c>
      <c r="H201" s="35" t="s">
        <v>11</v>
      </c>
      <c r="I201" s="35" t="s">
        <v>12</v>
      </c>
      <c r="J201" s="9">
        <f t="shared" si="6"/>
        <v>9</v>
      </c>
      <c r="K201" s="8">
        <f t="shared" si="7"/>
        <v>-0.04</v>
      </c>
    </row>
    <row r="202" customHeight="1" spans="1:11">
      <c r="A202" s="39" t="s">
        <v>87</v>
      </c>
      <c r="B202" s="11">
        <v>45909</v>
      </c>
      <c r="C202" s="13">
        <f>365*1</f>
        <v>365</v>
      </c>
      <c r="D202" s="19" t="s">
        <v>11</v>
      </c>
      <c r="E202" s="19" t="s">
        <v>11</v>
      </c>
      <c r="F202" s="9" t="s">
        <v>82</v>
      </c>
      <c r="G202" s="35" t="s">
        <v>9</v>
      </c>
      <c r="H202" s="35" t="s">
        <v>11</v>
      </c>
      <c r="I202" s="35" t="s">
        <v>12</v>
      </c>
      <c r="J202" s="9">
        <f t="shared" si="6"/>
        <v>9</v>
      </c>
      <c r="K202" s="8">
        <f t="shared" si="7"/>
        <v>0.04</v>
      </c>
    </row>
    <row r="203" customHeight="1" spans="1:11">
      <c r="A203" s="39" t="s">
        <v>87</v>
      </c>
      <c r="B203" s="11">
        <v>45909</v>
      </c>
      <c r="C203" s="12">
        <f>-365*1</f>
        <v>-365</v>
      </c>
      <c r="D203" s="19" t="s">
        <v>11</v>
      </c>
      <c r="E203" s="19" t="s">
        <v>11</v>
      </c>
      <c r="F203" s="9" t="s">
        <v>82</v>
      </c>
      <c r="G203" s="35" t="s">
        <v>9</v>
      </c>
      <c r="H203" s="35" t="s">
        <v>11</v>
      </c>
      <c r="I203" s="35" t="s">
        <v>12</v>
      </c>
      <c r="J203" s="9">
        <f t="shared" si="6"/>
        <v>9</v>
      </c>
      <c r="K203" s="8">
        <f t="shared" si="7"/>
        <v>-0.04</v>
      </c>
    </row>
    <row r="204" customHeight="1" spans="1:11">
      <c r="A204" s="39" t="s">
        <v>87</v>
      </c>
      <c r="B204" s="11">
        <v>45910</v>
      </c>
      <c r="C204" s="13">
        <f>365*1</f>
        <v>365</v>
      </c>
      <c r="D204" s="19" t="s">
        <v>11</v>
      </c>
      <c r="E204" s="19" t="s">
        <v>11</v>
      </c>
      <c r="F204" s="9" t="s">
        <v>82</v>
      </c>
      <c r="G204" s="35" t="s">
        <v>9</v>
      </c>
      <c r="H204" s="35" t="s">
        <v>11</v>
      </c>
      <c r="I204" s="35" t="s">
        <v>12</v>
      </c>
      <c r="J204" s="9">
        <f t="shared" si="6"/>
        <v>9</v>
      </c>
      <c r="K204" s="8">
        <f t="shared" si="7"/>
        <v>0.04</v>
      </c>
    </row>
    <row r="205" customHeight="1" spans="1:11">
      <c r="A205" s="39" t="s">
        <v>87</v>
      </c>
      <c r="B205" s="11">
        <v>45911</v>
      </c>
      <c r="C205" s="13">
        <f>365*1</f>
        <v>365</v>
      </c>
      <c r="D205" s="19" t="s">
        <v>11</v>
      </c>
      <c r="E205" s="19" t="s">
        <v>11</v>
      </c>
      <c r="F205" s="9" t="s">
        <v>82</v>
      </c>
      <c r="G205" s="35" t="s">
        <v>9</v>
      </c>
      <c r="H205" s="35" t="s">
        <v>11</v>
      </c>
      <c r="I205" s="35" t="s">
        <v>12</v>
      </c>
      <c r="J205" s="9">
        <f t="shared" si="6"/>
        <v>9</v>
      </c>
      <c r="K205" s="8">
        <f t="shared" si="7"/>
        <v>0.04</v>
      </c>
    </row>
    <row r="206" customHeight="1" spans="1:11">
      <c r="A206" s="39" t="s">
        <v>87</v>
      </c>
      <c r="B206" s="11">
        <v>45912</v>
      </c>
      <c r="C206" s="13">
        <f>365*3</f>
        <v>1095</v>
      </c>
      <c r="D206" s="19" t="s">
        <v>11</v>
      </c>
      <c r="E206" s="19" t="s">
        <v>11</v>
      </c>
      <c r="F206" s="9" t="s">
        <v>82</v>
      </c>
      <c r="G206" s="35" t="s">
        <v>9</v>
      </c>
      <c r="H206" s="35" t="s">
        <v>11</v>
      </c>
      <c r="I206" s="35" t="s">
        <v>12</v>
      </c>
      <c r="J206" s="9">
        <f t="shared" si="6"/>
        <v>9</v>
      </c>
      <c r="K206" s="8">
        <f t="shared" si="7"/>
        <v>0.11</v>
      </c>
    </row>
    <row r="207" customHeight="1" spans="1:11">
      <c r="A207" s="39" t="s">
        <v>87</v>
      </c>
      <c r="B207" s="11">
        <v>45913</v>
      </c>
      <c r="C207" s="13">
        <f>365*2</f>
        <v>730</v>
      </c>
      <c r="D207" s="19" t="s">
        <v>11</v>
      </c>
      <c r="E207" s="19" t="s">
        <v>11</v>
      </c>
      <c r="F207" s="9" t="s">
        <v>82</v>
      </c>
      <c r="G207" s="35" t="s">
        <v>9</v>
      </c>
      <c r="H207" s="35" t="s">
        <v>11</v>
      </c>
      <c r="I207" s="35" t="s">
        <v>12</v>
      </c>
      <c r="J207" s="9">
        <f t="shared" si="6"/>
        <v>9</v>
      </c>
      <c r="K207" s="8">
        <f t="shared" si="7"/>
        <v>0.07</v>
      </c>
    </row>
    <row r="208" customHeight="1" spans="1:11">
      <c r="A208" s="39" t="s">
        <v>87</v>
      </c>
      <c r="B208" s="11">
        <v>45914</v>
      </c>
      <c r="C208" s="13">
        <f>365*2</f>
        <v>730</v>
      </c>
      <c r="D208" s="19" t="s">
        <v>11</v>
      </c>
      <c r="E208" s="19" t="s">
        <v>11</v>
      </c>
      <c r="F208" s="9" t="s">
        <v>82</v>
      </c>
      <c r="G208" s="35" t="s">
        <v>9</v>
      </c>
      <c r="H208" s="35" t="s">
        <v>11</v>
      </c>
      <c r="I208" s="35" t="s">
        <v>12</v>
      </c>
      <c r="J208" s="9">
        <f t="shared" si="6"/>
        <v>9</v>
      </c>
      <c r="K208" s="8">
        <f t="shared" si="7"/>
        <v>0.07</v>
      </c>
    </row>
    <row r="209" customHeight="1" spans="1:11">
      <c r="A209" s="39" t="s">
        <v>87</v>
      </c>
      <c r="B209" s="11">
        <v>45916</v>
      </c>
      <c r="C209" s="13">
        <f>365*4</f>
        <v>1460</v>
      </c>
      <c r="D209" s="19" t="s">
        <v>11</v>
      </c>
      <c r="E209" s="19" t="s">
        <v>11</v>
      </c>
      <c r="F209" s="9" t="s">
        <v>82</v>
      </c>
      <c r="G209" s="35" t="s">
        <v>9</v>
      </c>
      <c r="H209" s="35" t="s">
        <v>11</v>
      </c>
      <c r="I209" s="35" t="s">
        <v>12</v>
      </c>
      <c r="J209" s="9">
        <f t="shared" si="6"/>
        <v>9</v>
      </c>
      <c r="K209" s="8">
        <f t="shared" si="7"/>
        <v>0.15</v>
      </c>
    </row>
    <row r="210" customHeight="1" spans="1:11">
      <c r="A210" s="39" t="s">
        <v>87</v>
      </c>
      <c r="B210" s="11">
        <v>45916</v>
      </c>
      <c r="C210" s="12">
        <f>-365*1</f>
        <v>-365</v>
      </c>
      <c r="D210" s="19" t="s">
        <v>11</v>
      </c>
      <c r="E210" s="19" t="s">
        <v>11</v>
      </c>
      <c r="F210" s="9" t="s">
        <v>82</v>
      </c>
      <c r="G210" s="35" t="s">
        <v>9</v>
      </c>
      <c r="H210" s="35" t="s">
        <v>11</v>
      </c>
      <c r="I210" s="35" t="s">
        <v>12</v>
      </c>
      <c r="J210" s="9">
        <f t="shared" si="6"/>
        <v>9</v>
      </c>
      <c r="K210" s="8">
        <f t="shared" si="7"/>
        <v>-0.04</v>
      </c>
    </row>
    <row r="211" customHeight="1" spans="1:11">
      <c r="A211" s="39" t="s">
        <v>87</v>
      </c>
      <c r="B211" s="11">
        <v>45917</v>
      </c>
      <c r="C211" s="13">
        <f>365*1</f>
        <v>365</v>
      </c>
      <c r="D211" s="19" t="s">
        <v>11</v>
      </c>
      <c r="E211" s="19" t="s">
        <v>11</v>
      </c>
      <c r="F211" s="9" t="s">
        <v>82</v>
      </c>
      <c r="G211" s="35" t="s">
        <v>9</v>
      </c>
      <c r="H211" s="35" t="s">
        <v>11</v>
      </c>
      <c r="I211" s="35" t="s">
        <v>12</v>
      </c>
      <c r="J211" s="9">
        <f t="shared" si="6"/>
        <v>9</v>
      </c>
      <c r="K211" s="8">
        <f t="shared" si="7"/>
        <v>0.04</v>
      </c>
    </row>
    <row r="212" customHeight="1" spans="1:11">
      <c r="A212" s="39" t="s">
        <v>87</v>
      </c>
      <c r="B212" s="11">
        <v>45919</v>
      </c>
      <c r="C212" s="13">
        <v>3650</v>
      </c>
      <c r="D212" s="19" t="s">
        <v>11</v>
      </c>
      <c r="E212" s="19" t="s">
        <v>11</v>
      </c>
      <c r="F212" s="9" t="s">
        <v>82</v>
      </c>
      <c r="G212" s="35" t="s">
        <v>9</v>
      </c>
      <c r="H212" s="35" t="s">
        <v>11</v>
      </c>
      <c r="I212" s="35" t="s">
        <v>12</v>
      </c>
      <c r="J212" s="9">
        <f t="shared" si="6"/>
        <v>9</v>
      </c>
      <c r="K212" s="8">
        <f t="shared" si="7"/>
        <v>0.37</v>
      </c>
    </row>
    <row r="213" customHeight="1" spans="1:11">
      <c r="A213" s="39" t="s">
        <v>87</v>
      </c>
      <c r="B213" s="11">
        <v>45919</v>
      </c>
      <c r="C213" s="14">
        <f>-365*1</f>
        <v>-365</v>
      </c>
      <c r="D213" s="19" t="s">
        <v>11</v>
      </c>
      <c r="E213" s="19" t="s">
        <v>11</v>
      </c>
      <c r="F213" s="9" t="s">
        <v>82</v>
      </c>
      <c r="G213" s="35" t="s">
        <v>9</v>
      </c>
      <c r="H213" s="35" t="s">
        <v>11</v>
      </c>
      <c r="I213" s="35" t="s">
        <v>12</v>
      </c>
      <c r="J213" s="9">
        <f t="shared" si="6"/>
        <v>9</v>
      </c>
      <c r="K213" s="8">
        <f t="shared" si="7"/>
        <v>-0.04</v>
      </c>
    </row>
    <row r="214" customHeight="1" spans="1:11">
      <c r="A214" s="39" t="s">
        <v>87</v>
      </c>
      <c r="B214" s="11">
        <v>45920</v>
      </c>
      <c r="C214" s="13">
        <v>1460</v>
      </c>
      <c r="D214" s="19" t="s">
        <v>11</v>
      </c>
      <c r="E214" s="19" t="s">
        <v>11</v>
      </c>
      <c r="F214" s="9" t="s">
        <v>82</v>
      </c>
      <c r="G214" s="35" t="s">
        <v>9</v>
      </c>
      <c r="H214" s="35" t="s">
        <v>11</v>
      </c>
      <c r="I214" s="35" t="s">
        <v>12</v>
      </c>
      <c r="J214" s="9">
        <f t="shared" si="6"/>
        <v>9</v>
      </c>
      <c r="K214" s="8">
        <f t="shared" si="7"/>
        <v>0.15</v>
      </c>
    </row>
    <row r="215" customHeight="1" spans="1:11">
      <c r="A215" s="39" t="s">
        <v>87</v>
      </c>
      <c r="B215" s="11">
        <v>45920</v>
      </c>
      <c r="C215" s="14">
        <f>-365*1</f>
        <v>-365</v>
      </c>
      <c r="D215" s="19" t="s">
        <v>11</v>
      </c>
      <c r="E215" s="19" t="s">
        <v>11</v>
      </c>
      <c r="F215" s="9" t="s">
        <v>82</v>
      </c>
      <c r="G215" s="35" t="s">
        <v>9</v>
      </c>
      <c r="H215" s="35" t="s">
        <v>11</v>
      </c>
      <c r="I215" s="35" t="s">
        <v>12</v>
      </c>
      <c r="J215" s="9">
        <f t="shared" si="6"/>
        <v>9</v>
      </c>
      <c r="K215" s="8">
        <f t="shared" si="7"/>
        <v>-0.04</v>
      </c>
    </row>
    <row r="216" customHeight="1" spans="1:11">
      <c r="A216" s="39" t="s">
        <v>87</v>
      </c>
      <c r="B216" s="11">
        <v>45921</v>
      </c>
      <c r="C216" s="13">
        <v>365</v>
      </c>
      <c r="D216" s="19" t="s">
        <v>11</v>
      </c>
      <c r="E216" s="19" t="s">
        <v>11</v>
      </c>
      <c r="F216" s="9" t="s">
        <v>82</v>
      </c>
      <c r="G216" s="35" t="s">
        <v>9</v>
      </c>
      <c r="H216" s="35" t="s">
        <v>11</v>
      </c>
      <c r="I216" s="35" t="s">
        <v>12</v>
      </c>
      <c r="J216" s="9">
        <f t="shared" si="6"/>
        <v>9</v>
      </c>
      <c r="K216" s="8">
        <f t="shared" si="7"/>
        <v>0.04</v>
      </c>
    </row>
    <row r="217" customHeight="1" spans="1:11">
      <c r="A217" s="39" t="s">
        <v>87</v>
      </c>
      <c r="B217" s="11">
        <v>45922</v>
      </c>
      <c r="C217" s="36">
        <v>730</v>
      </c>
      <c r="D217" s="42" t="s">
        <v>11</v>
      </c>
      <c r="E217" s="19" t="s">
        <v>11</v>
      </c>
      <c r="F217" s="9" t="s">
        <v>82</v>
      </c>
      <c r="G217" s="35" t="s">
        <v>9</v>
      </c>
      <c r="H217" s="35" t="s">
        <v>11</v>
      </c>
      <c r="I217" s="35" t="s">
        <v>12</v>
      </c>
      <c r="J217" s="9">
        <f t="shared" si="6"/>
        <v>9</v>
      </c>
      <c r="K217" s="8">
        <f t="shared" si="7"/>
        <v>0.07</v>
      </c>
    </row>
    <row r="218" customHeight="1" spans="1:11">
      <c r="A218" s="39" t="s">
        <v>87</v>
      </c>
      <c r="B218" s="11">
        <v>45924</v>
      </c>
      <c r="C218" s="36">
        <v>365</v>
      </c>
      <c r="D218" s="42" t="s">
        <v>11</v>
      </c>
      <c r="E218" s="19" t="s">
        <v>11</v>
      </c>
      <c r="F218" s="9" t="s">
        <v>82</v>
      </c>
      <c r="G218" s="35" t="s">
        <v>9</v>
      </c>
      <c r="H218" s="35" t="s">
        <v>11</v>
      </c>
      <c r="I218" s="35" t="s">
        <v>12</v>
      </c>
      <c r="J218" s="9">
        <f t="shared" si="6"/>
        <v>9</v>
      </c>
      <c r="K218" s="8">
        <f t="shared" si="7"/>
        <v>0.04</v>
      </c>
    </row>
    <row r="219" customHeight="1" spans="1:11">
      <c r="A219" s="39" t="s">
        <v>87</v>
      </c>
      <c r="B219" s="11">
        <v>45925</v>
      </c>
      <c r="C219" s="36">
        <v>365</v>
      </c>
      <c r="D219" s="42" t="s">
        <v>11</v>
      </c>
      <c r="E219" s="19" t="s">
        <v>11</v>
      </c>
      <c r="F219" s="9" t="s">
        <v>82</v>
      </c>
      <c r="G219" s="35" t="s">
        <v>9</v>
      </c>
      <c r="H219" s="35" t="s">
        <v>11</v>
      </c>
      <c r="I219" s="35" t="s">
        <v>12</v>
      </c>
      <c r="J219" s="9">
        <f t="shared" si="6"/>
        <v>9</v>
      </c>
      <c r="K219" s="8">
        <f t="shared" si="7"/>
        <v>0.04</v>
      </c>
    </row>
    <row r="220" customHeight="1" spans="1:11">
      <c r="A220" s="39" t="s">
        <v>87</v>
      </c>
      <c r="B220" s="11">
        <v>45926</v>
      </c>
      <c r="C220" s="36">
        <v>1095</v>
      </c>
      <c r="D220" s="42" t="s">
        <v>11</v>
      </c>
      <c r="E220" s="19" t="s">
        <v>11</v>
      </c>
      <c r="F220" s="9" t="s">
        <v>82</v>
      </c>
      <c r="G220" s="35" t="s">
        <v>9</v>
      </c>
      <c r="H220" s="35" t="s">
        <v>11</v>
      </c>
      <c r="I220" s="35" t="s">
        <v>12</v>
      </c>
      <c r="J220" s="9">
        <f t="shared" si="6"/>
        <v>9</v>
      </c>
      <c r="K220" s="8">
        <f t="shared" si="7"/>
        <v>0.11</v>
      </c>
    </row>
    <row r="221" customHeight="1" spans="1:11">
      <c r="A221" s="39" t="s">
        <v>87</v>
      </c>
      <c r="B221" s="11">
        <v>45927</v>
      </c>
      <c r="C221" s="36">
        <v>1460</v>
      </c>
      <c r="D221" s="42" t="s">
        <v>11</v>
      </c>
      <c r="E221" s="19" t="s">
        <v>11</v>
      </c>
      <c r="F221" s="9" t="s">
        <v>82</v>
      </c>
      <c r="G221" s="35" t="s">
        <v>9</v>
      </c>
      <c r="H221" s="35" t="s">
        <v>11</v>
      </c>
      <c r="I221" s="35" t="s">
        <v>12</v>
      </c>
      <c r="J221" s="9">
        <f t="shared" si="6"/>
        <v>9</v>
      </c>
      <c r="K221" s="8">
        <f t="shared" si="7"/>
        <v>0.15</v>
      </c>
    </row>
    <row r="222" customHeight="1" spans="1:11">
      <c r="A222" s="39" t="s">
        <v>87</v>
      </c>
      <c r="B222" s="11">
        <v>45928</v>
      </c>
      <c r="C222" s="36">
        <v>730</v>
      </c>
      <c r="D222" s="42" t="s">
        <v>11</v>
      </c>
      <c r="E222" s="19" t="s">
        <v>11</v>
      </c>
      <c r="F222" s="9" t="s">
        <v>82</v>
      </c>
      <c r="G222" s="35" t="s">
        <v>9</v>
      </c>
      <c r="H222" s="35" t="s">
        <v>11</v>
      </c>
      <c r="I222" s="35" t="s">
        <v>12</v>
      </c>
      <c r="J222" s="9">
        <f t="shared" si="6"/>
        <v>9</v>
      </c>
      <c r="K222" s="8">
        <f t="shared" si="7"/>
        <v>0.07</v>
      </c>
    </row>
    <row r="223" customHeight="1" spans="1:11">
      <c r="A223" s="39" t="s">
        <v>87</v>
      </c>
      <c r="B223" s="11">
        <v>45929</v>
      </c>
      <c r="C223" s="36">
        <v>365</v>
      </c>
      <c r="D223" s="42" t="s">
        <v>11</v>
      </c>
      <c r="E223" s="19" t="s">
        <v>11</v>
      </c>
      <c r="F223" s="9" t="s">
        <v>82</v>
      </c>
      <c r="G223" s="35" t="s">
        <v>9</v>
      </c>
      <c r="H223" s="35" t="s">
        <v>11</v>
      </c>
      <c r="I223" s="35" t="s">
        <v>12</v>
      </c>
      <c r="J223" s="9">
        <f t="shared" si="6"/>
        <v>9</v>
      </c>
      <c r="K223" s="8">
        <f t="shared" si="7"/>
        <v>0.04</v>
      </c>
    </row>
    <row r="224" customHeight="1" spans="1:11">
      <c r="A224" s="20" t="s">
        <v>36</v>
      </c>
      <c r="B224" s="11">
        <v>45940</v>
      </c>
      <c r="C224" s="13">
        <v>4601.8</v>
      </c>
      <c r="D224" s="17" t="s">
        <v>96</v>
      </c>
      <c r="E224" s="26" t="s">
        <v>97</v>
      </c>
      <c r="F224" s="9" t="s">
        <v>39</v>
      </c>
      <c r="G224" s="9" t="s">
        <v>22</v>
      </c>
      <c r="H224" s="9" t="s">
        <v>26</v>
      </c>
      <c r="I224" s="9" t="s">
        <v>28</v>
      </c>
      <c r="J224" s="9">
        <f t="shared" si="6"/>
        <v>10</v>
      </c>
      <c r="K224" s="8">
        <f t="shared" si="7"/>
        <v>0.46</v>
      </c>
    </row>
    <row r="225" customHeight="1" spans="1:11">
      <c r="A225" s="20" t="s">
        <v>36</v>
      </c>
      <c r="B225" s="11">
        <v>45943</v>
      </c>
      <c r="C225" s="13">
        <v>197.15</v>
      </c>
      <c r="D225" s="17" t="s">
        <v>98</v>
      </c>
      <c r="E225" s="26" t="s">
        <v>70</v>
      </c>
      <c r="F225" s="9" t="s">
        <v>39</v>
      </c>
      <c r="G225" s="9" t="s">
        <v>22</v>
      </c>
      <c r="H225" s="9" t="s">
        <v>26</v>
      </c>
      <c r="I225" s="9" t="s">
        <v>28</v>
      </c>
      <c r="J225" s="9">
        <f t="shared" si="6"/>
        <v>10</v>
      </c>
      <c r="K225" s="8">
        <f t="shared" si="7"/>
        <v>0.02</v>
      </c>
    </row>
    <row r="226" customHeight="1" spans="1:11">
      <c r="A226" s="20" t="s">
        <v>36</v>
      </c>
      <c r="B226" s="11">
        <v>45944</v>
      </c>
      <c r="C226" s="13">
        <v>26920.05</v>
      </c>
      <c r="D226" s="17" t="s">
        <v>99</v>
      </c>
      <c r="E226" s="26" t="s">
        <v>38</v>
      </c>
      <c r="F226" s="9" t="s">
        <v>39</v>
      </c>
      <c r="G226" s="9" t="s">
        <v>22</v>
      </c>
      <c r="H226" s="9" t="s">
        <v>26</v>
      </c>
      <c r="I226" s="9" t="s">
        <v>28</v>
      </c>
      <c r="J226" s="9">
        <f t="shared" si="6"/>
        <v>10</v>
      </c>
      <c r="K226" s="8">
        <f t="shared" si="7"/>
        <v>2.69</v>
      </c>
    </row>
    <row r="227" customHeight="1" spans="1:11">
      <c r="A227" s="20" t="s">
        <v>36</v>
      </c>
      <c r="B227" s="11">
        <v>45944</v>
      </c>
      <c r="C227" s="13">
        <v>12883.89</v>
      </c>
      <c r="D227" s="17" t="s">
        <v>100</v>
      </c>
      <c r="E227" s="26" t="s">
        <v>101</v>
      </c>
      <c r="F227" s="9" t="s">
        <v>39</v>
      </c>
      <c r="G227" s="9" t="s">
        <v>22</v>
      </c>
      <c r="H227" s="9" t="s">
        <v>26</v>
      </c>
      <c r="I227" s="9" t="s">
        <v>28</v>
      </c>
      <c r="J227" s="9">
        <f t="shared" si="6"/>
        <v>10</v>
      </c>
      <c r="K227" s="8">
        <f t="shared" si="7"/>
        <v>1.29</v>
      </c>
    </row>
    <row r="228" customHeight="1" spans="1:11">
      <c r="A228" s="20" t="s">
        <v>36</v>
      </c>
      <c r="B228" s="11">
        <v>45946</v>
      </c>
      <c r="C228" s="13">
        <v>171123.2</v>
      </c>
      <c r="D228" s="17" t="s">
        <v>73</v>
      </c>
      <c r="E228" s="26" t="s">
        <v>47</v>
      </c>
      <c r="F228" s="9" t="s">
        <v>39</v>
      </c>
      <c r="G228" s="9" t="s">
        <v>22</v>
      </c>
      <c r="H228" s="9" t="s">
        <v>23</v>
      </c>
      <c r="I228" s="9" t="s">
        <v>24</v>
      </c>
      <c r="J228" s="9">
        <f t="shared" si="6"/>
        <v>10</v>
      </c>
      <c r="K228" s="8">
        <f t="shared" si="7"/>
        <v>17.11</v>
      </c>
    </row>
    <row r="229" customHeight="1" spans="1:11">
      <c r="A229" s="20" t="s">
        <v>36</v>
      </c>
      <c r="B229" s="11">
        <v>45946</v>
      </c>
      <c r="C229" s="13">
        <v>23576.49</v>
      </c>
      <c r="D229" s="17" t="s">
        <v>51</v>
      </c>
      <c r="E229" s="26" t="s">
        <v>47</v>
      </c>
      <c r="F229" s="9" t="s">
        <v>39</v>
      </c>
      <c r="G229" s="9" t="s">
        <v>22</v>
      </c>
      <c r="H229" s="9" t="s">
        <v>23</v>
      </c>
      <c r="I229" s="9" t="s">
        <v>25</v>
      </c>
      <c r="J229" s="9">
        <f t="shared" si="6"/>
        <v>10</v>
      </c>
      <c r="K229" s="8">
        <f t="shared" si="7"/>
        <v>2.36</v>
      </c>
    </row>
    <row r="230" customHeight="1" spans="1:11">
      <c r="A230" s="20" t="s">
        <v>36</v>
      </c>
      <c r="B230" s="11">
        <v>45946</v>
      </c>
      <c r="C230" s="13">
        <v>238001.13</v>
      </c>
      <c r="D230" s="17" t="s">
        <v>46</v>
      </c>
      <c r="E230" s="26" t="s">
        <v>47</v>
      </c>
      <c r="F230" s="9" t="s">
        <v>39</v>
      </c>
      <c r="G230" s="9" t="s">
        <v>22</v>
      </c>
      <c r="H230" s="9" t="s">
        <v>23</v>
      </c>
      <c r="I230" s="9" t="s">
        <v>24</v>
      </c>
      <c r="J230" s="9">
        <f t="shared" si="6"/>
        <v>10</v>
      </c>
      <c r="K230" s="8">
        <f t="shared" si="7"/>
        <v>23.8</v>
      </c>
    </row>
    <row r="231" customHeight="1" spans="1:11">
      <c r="A231" s="20" t="s">
        <v>36</v>
      </c>
      <c r="B231" s="11">
        <v>45946</v>
      </c>
      <c r="C231" s="13">
        <v>35089.97</v>
      </c>
      <c r="D231" s="17" t="s">
        <v>48</v>
      </c>
      <c r="E231" s="26" t="s">
        <v>47</v>
      </c>
      <c r="F231" s="9" t="s">
        <v>39</v>
      </c>
      <c r="G231" s="9" t="s">
        <v>22</v>
      </c>
      <c r="H231" s="9" t="s">
        <v>23</v>
      </c>
      <c r="I231" s="9" t="s">
        <v>25</v>
      </c>
      <c r="J231" s="9">
        <f t="shared" si="6"/>
        <v>10</v>
      </c>
      <c r="K231" s="8">
        <f t="shared" si="7"/>
        <v>3.51</v>
      </c>
    </row>
    <row r="232" customHeight="1" spans="1:11">
      <c r="A232" s="20" t="s">
        <v>36</v>
      </c>
      <c r="B232" s="11">
        <v>45947</v>
      </c>
      <c r="C232" s="13">
        <v>14044.41</v>
      </c>
      <c r="D232" s="17" t="s">
        <v>102</v>
      </c>
      <c r="E232" s="26" t="s">
        <v>103</v>
      </c>
      <c r="F232" s="9" t="s">
        <v>39</v>
      </c>
      <c r="G232" s="9" t="s">
        <v>22</v>
      </c>
      <c r="H232" s="9" t="s">
        <v>26</v>
      </c>
      <c r="I232" s="9" t="s">
        <v>28</v>
      </c>
      <c r="J232" s="9">
        <f t="shared" si="6"/>
        <v>10</v>
      </c>
      <c r="K232" s="8">
        <f t="shared" si="7"/>
        <v>1.4</v>
      </c>
    </row>
    <row r="233" customHeight="1" spans="1:11">
      <c r="A233" s="20" t="s">
        <v>36</v>
      </c>
      <c r="B233" s="11">
        <v>45947</v>
      </c>
      <c r="C233" s="13">
        <v>23397.17</v>
      </c>
      <c r="D233" s="17" t="s">
        <v>44</v>
      </c>
      <c r="E233" s="26" t="s">
        <v>45</v>
      </c>
      <c r="F233" s="9" t="s">
        <v>39</v>
      </c>
      <c r="G233" s="9" t="s">
        <v>22</v>
      </c>
      <c r="H233" s="9" t="s">
        <v>26</v>
      </c>
      <c r="I233" s="9" t="s">
        <v>28</v>
      </c>
      <c r="J233" s="9">
        <f t="shared" si="6"/>
        <v>10</v>
      </c>
      <c r="K233" s="8">
        <f t="shared" si="7"/>
        <v>2.34</v>
      </c>
    </row>
    <row r="234" customHeight="1" spans="1:11">
      <c r="A234" s="20" t="s">
        <v>36</v>
      </c>
      <c r="B234" s="11">
        <v>45947</v>
      </c>
      <c r="C234" s="13">
        <v>15437.78</v>
      </c>
      <c r="D234" s="17" t="s">
        <v>104</v>
      </c>
      <c r="E234" s="26" t="s">
        <v>105</v>
      </c>
      <c r="F234" s="9" t="s">
        <v>39</v>
      </c>
      <c r="G234" s="9" t="s">
        <v>22</v>
      </c>
      <c r="H234" s="9" t="s">
        <v>26</v>
      </c>
      <c r="I234" s="9" t="s">
        <v>28</v>
      </c>
      <c r="J234" s="9">
        <f t="shared" si="6"/>
        <v>10</v>
      </c>
      <c r="K234" s="8">
        <f t="shared" si="7"/>
        <v>1.54</v>
      </c>
    </row>
    <row r="235" customHeight="1" spans="1:11">
      <c r="A235" s="20" t="s">
        <v>36</v>
      </c>
      <c r="B235" s="11">
        <v>45950</v>
      </c>
      <c r="C235" s="13">
        <v>14410.43</v>
      </c>
      <c r="D235" s="17" t="s">
        <v>106</v>
      </c>
      <c r="E235" s="26" t="s">
        <v>107</v>
      </c>
      <c r="F235" s="9" t="s">
        <v>39</v>
      </c>
      <c r="G235" s="9" t="s">
        <v>22</v>
      </c>
      <c r="H235" s="9" t="s">
        <v>26</v>
      </c>
      <c r="I235" s="9" t="s">
        <v>28</v>
      </c>
      <c r="J235" s="9">
        <f t="shared" si="6"/>
        <v>10</v>
      </c>
      <c r="K235" s="8">
        <f t="shared" si="7"/>
        <v>1.44</v>
      </c>
    </row>
    <row r="236" customHeight="1" spans="1:11">
      <c r="A236" s="20" t="s">
        <v>36</v>
      </c>
      <c r="B236" s="11">
        <v>45950</v>
      </c>
      <c r="C236" s="13">
        <v>44166.82</v>
      </c>
      <c r="D236" s="17" t="s">
        <v>42</v>
      </c>
      <c r="E236" s="26" t="s">
        <v>43</v>
      </c>
      <c r="F236" s="9" t="s">
        <v>39</v>
      </c>
      <c r="G236" s="9" t="s">
        <v>22</v>
      </c>
      <c r="H236" s="9" t="s">
        <v>26</v>
      </c>
      <c r="I236" s="9" t="s">
        <v>28</v>
      </c>
      <c r="J236" s="9">
        <f t="shared" si="6"/>
        <v>10</v>
      </c>
      <c r="K236" s="8">
        <f t="shared" si="7"/>
        <v>4.42</v>
      </c>
    </row>
    <row r="237" customHeight="1" spans="1:11">
      <c r="A237" s="20" t="s">
        <v>36</v>
      </c>
      <c r="B237" s="11">
        <v>45950</v>
      </c>
      <c r="C237" s="13">
        <v>38021.75</v>
      </c>
      <c r="D237" s="17" t="s">
        <v>66</v>
      </c>
      <c r="E237" s="26" t="s">
        <v>67</v>
      </c>
      <c r="F237" s="9" t="s">
        <v>39</v>
      </c>
      <c r="G237" s="9" t="s">
        <v>22</v>
      </c>
      <c r="H237" s="9" t="s">
        <v>26</v>
      </c>
      <c r="I237" s="9" t="s">
        <v>28</v>
      </c>
      <c r="J237" s="9">
        <f t="shared" si="6"/>
        <v>10</v>
      </c>
      <c r="K237" s="8">
        <f t="shared" si="7"/>
        <v>3.8</v>
      </c>
    </row>
    <row r="238" customHeight="1" spans="1:11">
      <c r="A238" s="37" t="s">
        <v>75</v>
      </c>
      <c r="B238" s="11">
        <v>45931</v>
      </c>
      <c r="C238" s="13">
        <v>128</v>
      </c>
      <c r="D238" s="17" t="s">
        <v>92</v>
      </c>
      <c r="E238" s="41" t="s">
        <v>93</v>
      </c>
      <c r="F238" s="9" t="s">
        <v>82</v>
      </c>
      <c r="G238" s="35" t="s">
        <v>16</v>
      </c>
      <c r="H238" s="35" t="s">
        <v>17</v>
      </c>
      <c r="I238" s="35" t="s">
        <v>8</v>
      </c>
      <c r="J238" s="9">
        <f t="shared" si="6"/>
        <v>10</v>
      </c>
      <c r="K238" s="8">
        <f t="shared" si="7"/>
        <v>0.01</v>
      </c>
    </row>
    <row r="239" customHeight="1" spans="1:11">
      <c r="A239" s="37" t="s">
        <v>75</v>
      </c>
      <c r="B239" s="11">
        <v>45934</v>
      </c>
      <c r="C239" s="13">
        <v>59.8</v>
      </c>
      <c r="D239" s="17" t="s">
        <v>92</v>
      </c>
      <c r="E239" s="41" t="s">
        <v>93</v>
      </c>
      <c r="F239" s="9" t="s">
        <v>82</v>
      </c>
      <c r="G239" s="35" t="s">
        <v>16</v>
      </c>
      <c r="H239" s="35" t="s">
        <v>17</v>
      </c>
      <c r="I239" s="35" t="s">
        <v>8</v>
      </c>
      <c r="J239" s="9">
        <f t="shared" si="6"/>
        <v>10</v>
      </c>
      <c r="K239" s="8">
        <f t="shared" si="7"/>
        <v>0.01</v>
      </c>
    </row>
    <row r="240" customHeight="1" spans="1:11">
      <c r="A240" s="37" t="s">
        <v>75</v>
      </c>
      <c r="B240" s="11">
        <v>45938</v>
      </c>
      <c r="C240" s="13">
        <v>299</v>
      </c>
      <c r="D240" s="17" t="s">
        <v>92</v>
      </c>
      <c r="E240" s="41" t="s">
        <v>93</v>
      </c>
      <c r="F240" s="9" t="s">
        <v>82</v>
      </c>
      <c r="G240" s="35" t="s">
        <v>16</v>
      </c>
      <c r="H240" s="35" t="s">
        <v>17</v>
      </c>
      <c r="I240" s="35" t="s">
        <v>8</v>
      </c>
      <c r="J240" s="9">
        <f t="shared" si="6"/>
        <v>10</v>
      </c>
      <c r="K240" s="8">
        <f t="shared" si="7"/>
        <v>0.03</v>
      </c>
    </row>
    <row r="241" customHeight="1" spans="1:11">
      <c r="A241" s="37" t="s">
        <v>75</v>
      </c>
      <c r="B241" s="11">
        <v>45940</v>
      </c>
      <c r="C241" s="13">
        <v>299</v>
      </c>
      <c r="D241" s="17" t="s">
        <v>92</v>
      </c>
      <c r="E241" s="41" t="s">
        <v>93</v>
      </c>
      <c r="F241" s="9" t="s">
        <v>82</v>
      </c>
      <c r="G241" s="35" t="s">
        <v>16</v>
      </c>
      <c r="H241" s="35" t="s">
        <v>17</v>
      </c>
      <c r="I241" s="35" t="s">
        <v>8</v>
      </c>
      <c r="J241" s="9">
        <f t="shared" si="6"/>
        <v>10</v>
      </c>
      <c r="K241" s="8">
        <f t="shared" si="7"/>
        <v>0.03</v>
      </c>
    </row>
    <row r="242" customHeight="1" spans="1:11">
      <c r="A242" s="37" t="s">
        <v>75</v>
      </c>
      <c r="B242" s="11">
        <v>45944</v>
      </c>
      <c r="C242" s="13">
        <v>299</v>
      </c>
      <c r="D242" s="17" t="s">
        <v>92</v>
      </c>
      <c r="E242" s="41" t="s">
        <v>93</v>
      </c>
      <c r="F242" s="9" t="s">
        <v>82</v>
      </c>
      <c r="G242" s="35" t="s">
        <v>16</v>
      </c>
      <c r="H242" s="35" t="s">
        <v>17</v>
      </c>
      <c r="I242" s="35" t="s">
        <v>8</v>
      </c>
      <c r="J242" s="9">
        <f t="shared" si="6"/>
        <v>10</v>
      </c>
      <c r="K242" s="8">
        <f t="shared" si="7"/>
        <v>0.03</v>
      </c>
    </row>
    <row r="243" customHeight="1" spans="1:11">
      <c r="A243" s="37" t="s">
        <v>75</v>
      </c>
      <c r="B243" s="11">
        <v>45946</v>
      </c>
      <c r="C243" s="13">
        <v>59.8</v>
      </c>
      <c r="D243" s="17" t="s">
        <v>92</v>
      </c>
      <c r="E243" s="41" t="s">
        <v>93</v>
      </c>
      <c r="F243" s="9" t="s">
        <v>82</v>
      </c>
      <c r="G243" s="35" t="s">
        <v>16</v>
      </c>
      <c r="H243" s="35" t="s">
        <v>17</v>
      </c>
      <c r="I243" s="35" t="s">
        <v>8</v>
      </c>
      <c r="J243" s="9">
        <f t="shared" si="6"/>
        <v>10</v>
      </c>
      <c r="K243" s="8">
        <f t="shared" si="7"/>
        <v>0.01</v>
      </c>
    </row>
    <row r="244" customHeight="1" spans="1:11">
      <c r="A244" s="37" t="s">
        <v>75</v>
      </c>
      <c r="B244" s="11">
        <v>45949</v>
      </c>
      <c r="C244" s="13">
        <v>128</v>
      </c>
      <c r="D244" s="17" t="s">
        <v>92</v>
      </c>
      <c r="E244" s="41" t="s">
        <v>93</v>
      </c>
      <c r="F244" s="9" t="s">
        <v>82</v>
      </c>
      <c r="G244" s="35" t="s">
        <v>16</v>
      </c>
      <c r="H244" s="35" t="s">
        <v>17</v>
      </c>
      <c r="I244" s="35" t="s">
        <v>8</v>
      </c>
      <c r="J244" s="9">
        <f t="shared" si="6"/>
        <v>10</v>
      </c>
      <c r="K244" s="8">
        <f t="shared" si="7"/>
        <v>0.01</v>
      </c>
    </row>
    <row r="245" customHeight="1" spans="1:11">
      <c r="A245" s="37" t="s">
        <v>75</v>
      </c>
      <c r="B245" s="11">
        <v>45953</v>
      </c>
      <c r="C245" s="13">
        <v>1088</v>
      </c>
      <c r="D245" s="17" t="s">
        <v>80</v>
      </c>
      <c r="E245" s="41" t="s">
        <v>83</v>
      </c>
      <c r="F245" s="9" t="s">
        <v>82</v>
      </c>
      <c r="G245" s="35" t="s">
        <v>9</v>
      </c>
      <c r="H245" s="35" t="s">
        <v>10</v>
      </c>
      <c r="I245" s="35" t="s">
        <v>8</v>
      </c>
      <c r="J245" s="9">
        <f t="shared" si="6"/>
        <v>10</v>
      </c>
      <c r="K245" s="8">
        <f t="shared" si="7"/>
        <v>0.11</v>
      </c>
    </row>
    <row r="246" customHeight="1" spans="1:11">
      <c r="A246" s="37" t="s">
        <v>75</v>
      </c>
      <c r="B246" s="11">
        <v>45957</v>
      </c>
      <c r="C246" s="13">
        <v>1088</v>
      </c>
      <c r="D246" s="17" t="s">
        <v>80</v>
      </c>
      <c r="E246" s="41" t="s">
        <v>83</v>
      </c>
      <c r="F246" s="9" t="s">
        <v>82</v>
      </c>
      <c r="G246" s="35" t="s">
        <v>9</v>
      </c>
      <c r="H246" s="35" t="s">
        <v>10</v>
      </c>
      <c r="I246" s="35" t="s">
        <v>8</v>
      </c>
      <c r="J246" s="9">
        <f t="shared" si="6"/>
        <v>10</v>
      </c>
      <c r="K246" s="8">
        <f t="shared" si="7"/>
        <v>0.11</v>
      </c>
    </row>
    <row r="247" customHeight="1" spans="1:11">
      <c r="A247" s="39" t="s">
        <v>87</v>
      </c>
      <c r="B247" s="11">
        <v>45933</v>
      </c>
      <c r="C247" s="13">
        <f>365*1</f>
        <v>365</v>
      </c>
      <c r="D247" s="42" t="s">
        <v>11</v>
      </c>
      <c r="E247" s="19" t="s">
        <v>11</v>
      </c>
      <c r="F247" s="9" t="s">
        <v>82</v>
      </c>
      <c r="G247" s="35" t="s">
        <v>9</v>
      </c>
      <c r="H247" s="35" t="s">
        <v>11</v>
      </c>
      <c r="I247" s="35" t="s">
        <v>12</v>
      </c>
      <c r="J247" s="9">
        <f t="shared" si="6"/>
        <v>10</v>
      </c>
      <c r="K247" s="8">
        <f t="shared" si="7"/>
        <v>0.04</v>
      </c>
    </row>
    <row r="248" customHeight="1" spans="1:11">
      <c r="A248" s="39" t="s">
        <v>87</v>
      </c>
      <c r="B248" s="11">
        <v>45934</v>
      </c>
      <c r="C248" s="13">
        <f>365*1</f>
        <v>365</v>
      </c>
      <c r="D248" s="42" t="s">
        <v>11</v>
      </c>
      <c r="E248" s="19" t="s">
        <v>11</v>
      </c>
      <c r="F248" s="9" t="s">
        <v>82</v>
      </c>
      <c r="G248" s="35" t="s">
        <v>9</v>
      </c>
      <c r="H248" s="35" t="s">
        <v>11</v>
      </c>
      <c r="I248" s="35" t="s">
        <v>12</v>
      </c>
      <c r="J248" s="9">
        <f t="shared" si="6"/>
        <v>10</v>
      </c>
      <c r="K248" s="8">
        <f t="shared" si="7"/>
        <v>0.04</v>
      </c>
    </row>
    <row r="249" customHeight="1" spans="1:11">
      <c r="A249" s="39" t="s">
        <v>87</v>
      </c>
      <c r="B249" s="11">
        <v>45934</v>
      </c>
      <c r="C249" s="12">
        <f>-365*1</f>
        <v>-365</v>
      </c>
      <c r="D249" s="42" t="s">
        <v>11</v>
      </c>
      <c r="E249" s="19" t="s">
        <v>11</v>
      </c>
      <c r="F249" s="9" t="s">
        <v>82</v>
      </c>
      <c r="G249" s="35" t="s">
        <v>9</v>
      </c>
      <c r="H249" s="35" t="s">
        <v>11</v>
      </c>
      <c r="I249" s="35" t="s">
        <v>12</v>
      </c>
      <c r="J249" s="9">
        <f t="shared" si="6"/>
        <v>10</v>
      </c>
      <c r="K249" s="8">
        <f t="shared" si="7"/>
        <v>-0.04</v>
      </c>
    </row>
    <row r="250" customHeight="1" spans="1:11">
      <c r="A250" s="39" t="s">
        <v>87</v>
      </c>
      <c r="B250" s="11">
        <v>45935</v>
      </c>
      <c r="C250" s="13">
        <f>365*1</f>
        <v>365</v>
      </c>
      <c r="D250" s="42" t="s">
        <v>11</v>
      </c>
      <c r="E250" s="19" t="s">
        <v>11</v>
      </c>
      <c r="F250" s="9" t="s">
        <v>82</v>
      </c>
      <c r="G250" s="35" t="s">
        <v>9</v>
      </c>
      <c r="H250" s="35" t="s">
        <v>11</v>
      </c>
      <c r="I250" s="35" t="s">
        <v>12</v>
      </c>
      <c r="J250" s="9">
        <f t="shared" si="6"/>
        <v>10</v>
      </c>
      <c r="K250" s="8">
        <f t="shared" si="7"/>
        <v>0.04</v>
      </c>
    </row>
    <row r="251" customHeight="1" spans="1:11">
      <c r="A251" s="39" t="s">
        <v>87</v>
      </c>
      <c r="B251" s="11">
        <v>45938</v>
      </c>
      <c r="C251" s="13">
        <f>365*5</f>
        <v>1825</v>
      </c>
      <c r="D251" s="42" t="s">
        <v>11</v>
      </c>
      <c r="E251" s="19" t="s">
        <v>11</v>
      </c>
      <c r="F251" s="9" t="s">
        <v>82</v>
      </c>
      <c r="G251" s="35" t="s">
        <v>9</v>
      </c>
      <c r="H251" s="35" t="s">
        <v>11</v>
      </c>
      <c r="I251" s="35" t="s">
        <v>12</v>
      </c>
      <c r="J251" s="9">
        <f t="shared" si="6"/>
        <v>10</v>
      </c>
      <c r="K251" s="8">
        <f t="shared" si="7"/>
        <v>0.18</v>
      </c>
    </row>
    <row r="252" customHeight="1" spans="1:11">
      <c r="A252" s="39" t="s">
        <v>87</v>
      </c>
      <c r="B252" s="11">
        <v>45940</v>
      </c>
      <c r="C252" s="13">
        <f>365*1</f>
        <v>365</v>
      </c>
      <c r="D252" s="42" t="s">
        <v>11</v>
      </c>
      <c r="E252" s="19" t="s">
        <v>11</v>
      </c>
      <c r="F252" s="9" t="s">
        <v>82</v>
      </c>
      <c r="G252" s="35" t="s">
        <v>9</v>
      </c>
      <c r="H252" s="35" t="s">
        <v>11</v>
      </c>
      <c r="I252" s="35" t="s">
        <v>12</v>
      </c>
      <c r="J252" s="9">
        <f t="shared" si="6"/>
        <v>10</v>
      </c>
      <c r="K252" s="8">
        <f t="shared" si="7"/>
        <v>0.04</v>
      </c>
    </row>
    <row r="253" customHeight="1" spans="1:11">
      <c r="A253" s="39" t="s">
        <v>87</v>
      </c>
      <c r="B253" s="11">
        <v>45943</v>
      </c>
      <c r="C253" s="13">
        <f>648*1</f>
        <v>648</v>
      </c>
      <c r="D253" s="42" t="s">
        <v>11</v>
      </c>
      <c r="E253" s="19" t="s">
        <v>11</v>
      </c>
      <c r="F253" s="9" t="s">
        <v>82</v>
      </c>
      <c r="G253" s="35" t="s">
        <v>9</v>
      </c>
      <c r="H253" s="35" t="s">
        <v>11</v>
      </c>
      <c r="I253" s="35" t="s">
        <v>12</v>
      </c>
      <c r="J253" s="9">
        <f t="shared" si="6"/>
        <v>10</v>
      </c>
      <c r="K253" s="8">
        <f t="shared" si="7"/>
        <v>0.06</v>
      </c>
    </row>
    <row r="254" customHeight="1" spans="1:11">
      <c r="A254" s="39" t="s">
        <v>87</v>
      </c>
      <c r="B254" s="11">
        <v>45944</v>
      </c>
      <c r="C254" s="13">
        <f>427*1+648*1</f>
        <v>1075</v>
      </c>
      <c r="D254" s="42" t="s">
        <v>11</v>
      </c>
      <c r="E254" s="19" t="s">
        <v>11</v>
      </c>
      <c r="F254" s="9" t="s">
        <v>82</v>
      </c>
      <c r="G254" s="35" t="s">
        <v>9</v>
      </c>
      <c r="H254" s="35" t="s">
        <v>11</v>
      </c>
      <c r="I254" s="35" t="s">
        <v>12</v>
      </c>
      <c r="J254" s="9">
        <f t="shared" si="6"/>
        <v>10</v>
      </c>
      <c r="K254" s="8">
        <f t="shared" si="7"/>
        <v>0.11</v>
      </c>
    </row>
    <row r="255" customHeight="1" spans="1:11">
      <c r="A255" s="39" t="s">
        <v>87</v>
      </c>
      <c r="B255" s="11">
        <v>45945</v>
      </c>
      <c r="C255" s="13">
        <f>648*1</f>
        <v>648</v>
      </c>
      <c r="D255" s="42" t="s">
        <v>11</v>
      </c>
      <c r="E255" s="19" t="s">
        <v>11</v>
      </c>
      <c r="F255" s="9" t="s">
        <v>82</v>
      </c>
      <c r="G255" s="35" t="s">
        <v>9</v>
      </c>
      <c r="H255" s="35" t="s">
        <v>11</v>
      </c>
      <c r="I255" s="35" t="s">
        <v>12</v>
      </c>
      <c r="J255" s="9">
        <f t="shared" si="6"/>
        <v>10</v>
      </c>
      <c r="K255" s="8">
        <f t="shared" si="7"/>
        <v>0.06</v>
      </c>
    </row>
    <row r="256" customHeight="1" spans="1:11">
      <c r="A256" s="39" t="s">
        <v>87</v>
      </c>
      <c r="B256" s="11">
        <v>45946</v>
      </c>
      <c r="C256" s="13">
        <f>648*2</f>
        <v>1296</v>
      </c>
      <c r="D256" s="42" t="s">
        <v>11</v>
      </c>
      <c r="E256" s="19" t="s">
        <v>11</v>
      </c>
      <c r="F256" s="9" t="s">
        <v>82</v>
      </c>
      <c r="G256" s="35" t="s">
        <v>9</v>
      </c>
      <c r="H256" s="35" t="s">
        <v>11</v>
      </c>
      <c r="I256" s="35" t="s">
        <v>12</v>
      </c>
      <c r="J256" s="9">
        <f t="shared" si="6"/>
        <v>10</v>
      </c>
      <c r="K256" s="8">
        <f t="shared" si="7"/>
        <v>0.13</v>
      </c>
    </row>
    <row r="257" customHeight="1" spans="1:11">
      <c r="A257" s="39" t="s">
        <v>87</v>
      </c>
      <c r="B257" s="11">
        <v>45947</v>
      </c>
      <c r="C257" s="13">
        <f>648*5+427*1</f>
        <v>3667</v>
      </c>
      <c r="D257" s="42" t="s">
        <v>11</v>
      </c>
      <c r="E257" s="19" t="s">
        <v>11</v>
      </c>
      <c r="F257" s="9" t="s">
        <v>82</v>
      </c>
      <c r="G257" s="35" t="s">
        <v>9</v>
      </c>
      <c r="H257" s="35" t="s">
        <v>11</v>
      </c>
      <c r="I257" s="35" t="s">
        <v>12</v>
      </c>
      <c r="J257" s="9">
        <f t="shared" si="6"/>
        <v>10</v>
      </c>
      <c r="K257" s="8">
        <f t="shared" si="7"/>
        <v>0.37</v>
      </c>
    </row>
    <row r="258" customHeight="1" spans="1:11">
      <c r="A258" s="39" t="s">
        <v>87</v>
      </c>
      <c r="B258" s="11">
        <v>45949</v>
      </c>
      <c r="C258" s="13">
        <f>648*1</f>
        <v>648</v>
      </c>
      <c r="D258" s="42" t="s">
        <v>11</v>
      </c>
      <c r="E258" s="19" t="s">
        <v>11</v>
      </c>
      <c r="F258" s="9" t="s">
        <v>82</v>
      </c>
      <c r="G258" s="35" t="s">
        <v>9</v>
      </c>
      <c r="H258" s="35" t="s">
        <v>11</v>
      </c>
      <c r="I258" s="35" t="s">
        <v>12</v>
      </c>
      <c r="J258" s="9">
        <f t="shared" ref="J258:J265" si="8">MONTH(B258)</f>
        <v>10</v>
      </c>
      <c r="K258" s="8">
        <f t="shared" ref="K258:K265" si="9">ROUND(C258/10000,2)</f>
        <v>0.06</v>
      </c>
    </row>
    <row r="259" customHeight="1" spans="1:11">
      <c r="A259" s="39" t="s">
        <v>87</v>
      </c>
      <c r="B259" s="11">
        <v>45950</v>
      </c>
      <c r="C259" s="13">
        <f>648*5+427*2</f>
        <v>4094</v>
      </c>
      <c r="D259" s="42" t="s">
        <v>11</v>
      </c>
      <c r="E259" s="19" t="s">
        <v>11</v>
      </c>
      <c r="F259" s="9" t="s">
        <v>82</v>
      </c>
      <c r="G259" s="35" t="s">
        <v>9</v>
      </c>
      <c r="H259" s="35" t="s">
        <v>11</v>
      </c>
      <c r="I259" s="35" t="s">
        <v>12</v>
      </c>
      <c r="J259" s="9">
        <f t="shared" si="8"/>
        <v>10</v>
      </c>
      <c r="K259" s="8">
        <f t="shared" si="9"/>
        <v>0.41</v>
      </c>
    </row>
    <row r="260" customHeight="1" spans="1:11">
      <c r="A260" s="39" t="s">
        <v>87</v>
      </c>
      <c r="B260" s="11">
        <v>45951</v>
      </c>
      <c r="C260" s="13">
        <f>648*4+427*3</f>
        <v>3873</v>
      </c>
      <c r="D260" s="42" t="s">
        <v>11</v>
      </c>
      <c r="E260" s="19" t="s">
        <v>11</v>
      </c>
      <c r="F260" s="9" t="s">
        <v>82</v>
      </c>
      <c r="G260" s="35" t="s">
        <v>9</v>
      </c>
      <c r="H260" s="35" t="s">
        <v>11</v>
      </c>
      <c r="I260" s="35" t="s">
        <v>12</v>
      </c>
      <c r="J260" s="9">
        <f t="shared" si="8"/>
        <v>10</v>
      </c>
      <c r="K260" s="8">
        <f t="shared" si="9"/>
        <v>0.39</v>
      </c>
    </row>
    <row r="261" customHeight="1" spans="1:11">
      <c r="A261" s="39" t="s">
        <v>87</v>
      </c>
      <c r="B261" s="11">
        <v>45951</v>
      </c>
      <c r="C261" s="12">
        <f>-648*1</f>
        <v>-648</v>
      </c>
      <c r="D261" s="42" t="s">
        <v>11</v>
      </c>
      <c r="E261" s="19" t="s">
        <v>11</v>
      </c>
      <c r="F261" s="9" t="s">
        <v>82</v>
      </c>
      <c r="G261" s="35" t="s">
        <v>9</v>
      </c>
      <c r="H261" s="35" t="s">
        <v>11</v>
      </c>
      <c r="I261" s="35" t="s">
        <v>12</v>
      </c>
      <c r="J261" s="9">
        <f t="shared" si="8"/>
        <v>10</v>
      </c>
      <c r="K261" s="8">
        <f t="shared" si="9"/>
        <v>-0.06</v>
      </c>
    </row>
    <row r="262" customHeight="1" spans="1:11">
      <c r="A262" s="39" t="s">
        <v>87</v>
      </c>
      <c r="B262" s="11">
        <v>45952</v>
      </c>
      <c r="C262" s="13">
        <f>648*1</f>
        <v>648</v>
      </c>
      <c r="D262" s="42" t="s">
        <v>11</v>
      </c>
      <c r="E262" s="19" t="s">
        <v>11</v>
      </c>
      <c r="F262" s="9" t="s">
        <v>82</v>
      </c>
      <c r="G262" s="35" t="s">
        <v>9</v>
      </c>
      <c r="H262" s="35" t="s">
        <v>11</v>
      </c>
      <c r="I262" s="35" t="s">
        <v>12</v>
      </c>
      <c r="J262" s="9">
        <f t="shared" si="8"/>
        <v>10</v>
      </c>
      <c r="K262" s="8">
        <f t="shared" si="9"/>
        <v>0.06</v>
      </c>
    </row>
    <row r="263" customHeight="1" spans="1:11">
      <c r="A263" s="39" t="s">
        <v>87</v>
      </c>
      <c r="B263" s="11">
        <v>45952</v>
      </c>
      <c r="C263" s="12">
        <f>-648*2</f>
        <v>-1296</v>
      </c>
      <c r="D263" s="42" t="s">
        <v>11</v>
      </c>
      <c r="E263" s="19" t="s">
        <v>11</v>
      </c>
      <c r="F263" s="9" t="s">
        <v>82</v>
      </c>
      <c r="G263" s="35" t="s">
        <v>9</v>
      </c>
      <c r="H263" s="35" t="s">
        <v>11</v>
      </c>
      <c r="I263" s="35" t="s">
        <v>12</v>
      </c>
      <c r="J263" s="9">
        <f t="shared" si="8"/>
        <v>10</v>
      </c>
      <c r="K263" s="8">
        <f t="shared" si="9"/>
        <v>-0.13</v>
      </c>
    </row>
    <row r="264" customHeight="1" spans="1:11">
      <c r="A264" s="39" t="s">
        <v>87</v>
      </c>
      <c r="B264" s="11">
        <v>45953</v>
      </c>
      <c r="C264" s="13">
        <f>648*1</f>
        <v>648</v>
      </c>
      <c r="D264" s="42" t="s">
        <v>11</v>
      </c>
      <c r="E264" s="19" t="s">
        <v>11</v>
      </c>
      <c r="F264" s="9" t="s">
        <v>82</v>
      </c>
      <c r="G264" s="35" t="s">
        <v>9</v>
      </c>
      <c r="H264" s="35" t="s">
        <v>11</v>
      </c>
      <c r="I264" s="35" t="s">
        <v>12</v>
      </c>
      <c r="J264" s="9">
        <f t="shared" si="8"/>
        <v>10</v>
      </c>
      <c r="K264" s="8">
        <f t="shared" si="9"/>
        <v>0.06</v>
      </c>
    </row>
    <row r="265" customHeight="1" spans="1:11">
      <c r="A265" s="39" t="s">
        <v>87</v>
      </c>
      <c r="B265" s="11">
        <v>45955</v>
      </c>
      <c r="C265" s="13">
        <f>648*2</f>
        <v>1296</v>
      </c>
      <c r="D265" s="42" t="s">
        <v>11</v>
      </c>
      <c r="E265" s="19" t="s">
        <v>11</v>
      </c>
      <c r="F265" s="9" t="s">
        <v>82</v>
      </c>
      <c r="G265" s="35" t="s">
        <v>9</v>
      </c>
      <c r="H265" s="35" t="s">
        <v>11</v>
      </c>
      <c r="I265" s="35" t="s">
        <v>12</v>
      </c>
      <c r="J265" s="9">
        <f t="shared" si="8"/>
        <v>10</v>
      </c>
      <c r="K265" s="8">
        <f t="shared" si="9"/>
        <v>0.13</v>
      </c>
    </row>
  </sheetData>
  <autoFilter xmlns:etc="http://www.wps.cn/officeDocument/2017/etCustomData" ref="A1:K265" etc:filterBottomFollowUsedRange="0">
    <extLst/>
  </autoFilter>
  <conditionalFormatting sqref="G17">
    <cfRule type="colorScale" priority="55">
      <colorScale>
        <cfvo type="min"/>
        <cfvo type="max"/>
        <color rgb="FFFF7128"/>
        <color rgb="FFFFEF9C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7">
    <cfRule type="colorScale" priority="51">
      <colorScale>
        <cfvo type="min"/>
        <cfvo type="max"/>
        <color rgb="FFFCFCFF"/>
        <color rgb="FFF8696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6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max"/>
        <color rgb="FFFF7128"/>
        <color rgb="FFFFEF9C"/>
      </colorScale>
    </cfRule>
  </conditionalFormatting>
  <conditionalFormatting sqref="J46">
    <cfRule type="colorScale" priority="47">
      <colorScale>
        <cfvo type="min"/>
        <cfvo type="max"/>
        <color rgb="FF63BE7B"/>
        <color rgb="FFFFEF9C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6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max"/>
        <color rgb="FFFCFCFF"/>
        <color rgb="FFF8696B"/>
      </colorScale>
    </cfRule>
  </conditionalFormatting>
  <conditionalFormatting sqref="G12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max"/>
        <color rgb="FFFF7128"/>
        <color rgb="FFFFEF9C"/>
      </colorScale>
    </cfRule>
  </conditionalFormatting>
  <conditionalFormatting sqref="G128">
    <cfRule type="colorScale" priority="37">
      <colorScale>
        <cfvo type="min"/>
        <cfvo type="max"/>
        <color rgb="FFFF7128"/>
        <color rgb="FFFFEF9C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9">
    <cfRule type="colorScale" priority="35">
      <colorScale>
        <cfvo type="min"/>
        <cfvo type="max"/>
        <color rgb="FFFF7128"/>
        <color rgb="FFFFEF9C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2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max"/>
        <color rgb="FFFF7128"/>
        <color rgb="FFFFEF9C"/>
      </colorScale>
    </cfRule>
  </conditionalFormatting>
  <conditionalFormatting sqref="G177">
    <cfRule type="colorScale" priority="31">
      <colorScale>
        <cfvo type="min"/>
        <cfvo type="max"/>
        <color rgb="FFFF7128"/>
        <color rgb="FFFFEF9C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max"/>
        <color rgb="FFFF7128"/>
        <color rgb="FFFFEF9C"/>
      </colorScale>
    </cfRule>
  </conditionalFormatting>
  <conditionalFormatting sqref="G17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max"/>
        <color rgb="FFFF7128"/>
        <color rgb="FFFFEF9C"/>
      </colorScale>
    </cfRule>
  </conditionalFormatting>
  <conditionalFormatting sqref="G181">
    <cfRule type="colorScale" priority="25">
      <colorScale>
        <cfvo type="min"/>
        <cfvo type="max"/>
        <color rgb="FFFF7128"/>
        <color rgb="FFFFEF9C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max"/>
        <color rgb="FFFF7128"/>
        <color rgb="FFFFEF9C"/>
      </colorScale>
    </cfRule>
  </conditionalFormatting>
  <conditionalFormatting sqref="G18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max"/>
        <color rgb="FFFF7128"/>
        <color rgb="FFFFEF9C"/>
      </colorScale>
    </cfRule>
  </conditionalFormatting>
  <conditionalFormatting sqref="G18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max"/>
        <color rgb="FFFF7128"/>
        <color rgb="FFFFEF9C"/>
      </colorScale>
    </cfRule>
  </conditionalFormatting>
  <conditionalFormatting sqref="G19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max"/>
        <color rgb="FFFF7128"/>
        <color rgb="FFFFEF9C"/>
      </colorScale>
    </cfRule>
  </conditionalFormatting>
  <conditionalFormatting sqref="G167:G17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max"/>
        <color rgb="FFFF7128"/>
        <color rgb="FFFFEF9C"/>
      </colorScale>
    </cfRule>
  </conditionalFormatting>
  <conditionalFormatting sqref="G184:G18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max"/>
        <color rgb="FFFF7128"/>
        <color rgb="FFFFEF9C"/>
      </colorScale>
    </cfRule>
  </conditionalFormatting>
  <conditionalFormatting sqref="G187:G188">
    <cfRule type="colorScale" priority="15">
      <colorScale>
        <cfvo type="min"/>
        <cfvo type="max"/>
        <color rgb="FFFF7128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2:G223">
    <cfRule type="colorScale" priority="17">
      <colorScale>
        <cfvo type="min"/>
        <cfvo type="max"/>
        <color rgb="FFFF7128"/>
        <color rgb="FFFFEF9C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24:G237">
    <cfRule type="colorScale" priority="9">
      <colorScale>
        <cfvo type="min"/>
        <cfvo type="max"/>
        <color rgb="FFFF7128"/>
        <color rgb="FFFFEF9C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38:G244">
    <cfRule type="colorScale" priority="3">
      <colorScale>
        <cfvo type="min"/>
        <cfvo type="max"/>
        <color rgb="FFFF7128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47:G265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6 G18:G45 G47:G125">
    <cfRule type="colorScale" priority="62">
      <colorScale>
        <cfvo type="min"/>
        <cfvo type="max"/>
        <color rgb="FFFF7128"/>
        <color rgb="FFFFEF9C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45 J47:J26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max"/>
        <color rgb="FF63BE7B"/>
        <color rgb="FFFFEF9C"/>
      </colorScale>
    </cfRule>
  </conditionalFormatting>
  <conditionalFormatting sqref="K2:K16 K18:K45 K47:K26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max"/>
        <color rgb="FFFCFCFF"/>
        <color rgb="FFF8696B"/>
      </colorScale>
    </cfRule>
  </conditionalFormatting>
  <conditionalFormatting sqref="G130:G151 G153:G166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InputMessage="1" showErrorMessage="1" sqref="G2:G125 G127:G179 G181:G185 G187:G190 G192:G244 G247:G265">
      <formula1>"资产管理,系统开发,报告服务,咨询服务,培训服务,大V服务,互联网基金服务,慧聚云端服务"</formula1>
    </dataValidation>
    <dataValidation type="list" allowBlank="1" showInputMessage="1" showErrorMessage="1" sqref="H2:H125 H127:H179 H181:H185 H187:H190 H192:H244 H247:H265">
      <formula1>"自主募集,客户专户,投资顾问,合作培训,数据服务,报告服务,诊断服务,VIP会员,基慧Plus,AI产品,综合咨询,知识星球"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6"/>
  <sheetViews>
    <sheetView workbookViewId="0">
      <selection activeCell="A1" sqref="A1"/>
    </sheetView>
  </sheetViews>
  <sheetFormatPr defaultColWidth="9" defaultRowHeight="14.25" customHeight="1"/>
  <cols>
    <col min="1" max="1" width="15.6666666666667" style="1" customWidth="1"/>
    <col min="2" max="4" width="20.6666666666667" style="1" customWidth="1"/>
    <col min="5" max="5" width="41" style="1" customWidth="1"/>
    <col min="6" max="6" width="20.6666666666667" style="1" customWidth="1"/>
    <col min="7" max="7" width="14.6666666666667" style="1" customWidth="1"/>
    <col min="8" max="8" width="16.3333333333333" style="1" customWidth="1"/>
    <col min="9" max="9" width="9.5" style="15" customWidth="1"/>
    <col min="10" max="10" width="10.3333333333333" style="1" customWidth="1"/>
    <col min="11" max="40" width="9" style="1"/>
  </cols>
  <sheetData>
    <row r="1" ht="20.1" customHeight="1" spans="1:10">
      <c r="A1" s="4" t="s">
        <v>30</v>
      </c>
      <c r="B1" s="5" t="s">
        <v>31</v>
      </c>
      <c r="C1" s="6" t="s">
        <v>32</v>
      </c>
      <c r="D1" s="6" t="s">
        <v>108</v>
      </c>
      <c r="E1" s="6" t="s">
        <v>33</v>
      </c>
      <c r="F1" s="6" t="s">
        <v>34</v>
      </c>
      <c r="G1" s="20" t="s">
        <v>2</v>
      </c>
      <c r="H1" s="20" t="s">
        <v>3</v>
      </c>
      <c r="I1" s="21" t="s">
        <v>1</v>
      </c>
      <c r="J1" s="21" t="s">
        <v>35</v>
      </c>
    </row>
    <row r="2" ht="20.1" customHeight="1" spans="1:10">
      <c r="A2" s="16">
        <v>45663</v>
      </c>
      <c r="B2" s="13">
        <v>15894.33</v>
      </c>
      <c r="C2" s="17" t="s">
        <v>37</v>
      </c>
      <c r="D2" s="17" t="s">
        <v>28</v>
      </c>
      <c r="E2" s="17" t="s">
        <v>38</v>
      </c>
      <c r="F2" s="22" t="s">
        <v>39</v>
      </c>
      <c r="G2" s="17" t="s">
        <v>109</v>
      </c>
      <c r="H2" s="17" t="s">
        <v>26</v>
      </c>
      <c r="I2" s="9">
        <f t="shared" ref="I2:I58" si="0">MONTH(A2)</f>
        <v>1</v>
      </c>
      <c r="J2" s="17">
        <f t="shared" ref="J2:J65" si="1">ROUND(B2/10000,2)</f>
        <v>1.59</v>
      </c>
    </row>
    <row r="3" ht="20.1" customHeight="1" spans="1:10">
      <c r="A3" s="11">
        <v>45664</v>
      </c>
      <c r="B3" s="13">
        <v>10772.78</v>
      </c>
      <c r="C3" s="17" t="s">
        <v>40</v>
      </c>
      <c r="D3" s="17" t="s">
        <v>28</v>
      </c>
      <c r="E3" s="17" t="s">
        <v>41</v>
      </c>
      <c r="F3" s="22" t="s">
        <v>39</v>
      </c>
      <c r="G3" s="17" t="s">
        <v>109</v>
      </c>
      <c r="H3" s="17" t="s">
        <v>26</v>
      </c>
      <c r="I3" s="9">
        <f t="shared" si="0"/>
        <v>1</v>
      </c>
      <c r="J3" s="17">
        <f t="shared" si="1"/>
        <v>1.08</v>
      </c>
    </row>
    <row r="4" ht="20.1" customHeight="1" spans="1:10">
      <c r="A4" s="16">
        <v>45670</v>
      </c>
      <c r="B4" s="13">
        <v>2844.92</v>
      </c>
      <c r="C4" s="17" t="s">
        <v>42</v>
      </c>
      <c r="D4" s="17" t="s">
        <v>28</v>
      </c>
      <c r="E4" s="17" t="s">
        <v>43</v>
      </c>
      <c r="F4" s="22" t="s">
        <v>39</v>
      </c>
      <c r="G4" s="17" t="s">
        <v>109</v>
      </c>
      <c r="H4" s="17" t="s">
        <v>26</v>
      </c>
      <c r="I4" s="9">
        <f t="shared" si="0"/>
        <v>1</v>
      </c>
      <c r="J4" s="17">
        <f t="shared" si="1"/>
        <v>0.28</v>
      </c>
    </row>
    <row r="5" ht="20.1" customHeight="1" spans="1:10">
      <c r="A5" s="11">
        <v>45670</v>
      </c>
      <c r="B5" s="13">
        <v>7960.79</v>
      </c>
      <c r="C5" s="17" t="s">
        <v>44</v>
      </c>
      <c r="D5" s="17" t="s">
        <v>28</v>
      </c>
      <c r="E5" s="17" t="s">
        <v>45</v>
      </c>
      <c r="F5" s="22" t="s">
        <v>39</v>
      </c>
      <c r="G5" s="17" t="s">
        <v>109</v>
      </c>
      <c r="H5" s="17" t="s">
        <v>26</v>
      </c>
      <c r="I5" s="9">
        <f t="shared" si="0"/>
        <v>1</v>
      </c>
      <c r="J5" s="17">
        <f t="shared" si="1"/>
        <v>0.8</v>
      </c>
    </row>
    <row r="6" ht="20.1" customHeight="1" spans="1:10">
      <c r="A6" s="16">
        <v>45673</v>
      </c>
      <c r="B6" s="13">
        <v>26041.79</v>
      </c>
      <c r="C6" s="17" t="s">
        <v>46</v>
      </c>
      <c r="D6" s="17" t="s">
        <v>24</v>
      </c>
      <c r="E6" s="17" t="s">
        <v>47</v>
      </c>
      <c r="F6" s="22" t="s">
        <v>39</v>
      </c>
      <c r="G6" s="17" t="s">
        <v>110</v>
      </c>
      <c r="H6" s="17" t="s">
        <v>111</v>
      </c>
      <c r="I6" s="9">
        <f t="shared" si="0"/>
        <v>1</v>
      </c>
      <c r="J6" s="17">
        <f t="shared" si="1"/>
        <v>2.6</v>
      </c>
    </row>
    <row r="7" ht="20.1" customHeight="1" spans="1:10">
      <c r="A7" s="11">
        <v>45673</v>
      </c>
      <c r="B7" s="13">
        <v>34692.52</v>
      </c>
      <c r="C7" s="17" t="s">
        <v>48</v>
      </c>
      <c r="D7" s="17" t="s">
        <v>112</v>
      </c>
      <c r="E7" s="17" t="s">
        <v>47</v>
      </c>
      <c r="F7" s="22" t="s">
        <v>39</v>
      </c>
      <c r="G7" s="17" t="s">
        <v>110</v>
      </c>
      <c r="H7" s="17" t="s">
        <v>111</v>
      </c>
      <c r="I7" s="9">
        <f t="shared" si="0"/>
        <v>1</v>
      </c>
      <c r="J7" s="17">
        <f t="shared" si="1"/>
        <v>3.47</v>
      </c>
    </row>
    <row r="8" ht="20.1" customHeight="1" spans="1:10">
      <c r="A8" s="11">
        <v>45674</v>
      </c>
      <c r="B8" s="13">
        <v>4455.04</v>
      </c>
      <c r="C8" s="17" t="s">
        <v>49</v>
      </c>
      <c r="D8" s="17" t="s">
        <v>28</v>
      </c>
      <c r="E8" s="17" t="s">
        <v>50</v>
      </c>
      <c r="F8" s="22" t="s">
        <v>39</v>
      </c>
      <c r="G8" s="17" t="s">
        <v>109</v>
      </c>
      <c r="H8" s="17" t="s">
        <v>111</v>
      </c>
      <c r="I8" s="9">
        <f t="shared" si="0"/>
        <v>1</v>
      </c>
      <c r="J8" s="17">
        <f t="shared" si="1"/>
        <v>0.45</v>
      </c>
    </row>
    <row r="9" ht="20.1" customHeight="1" spans="1:10">
      <c r="A9" s="11">
        <v>45674</v>
      </c>
      <c r="B9" s="13">
        <v>38883.9</v>
      </c>
      <c r="C9" s="17" t="s">
        <v>51</v>
      </c>
      <c r="D9" s="17" t="s">
        <v>112</v>
      </c>
      <c r="E9" s="17" t="s">
        <v>47</v>
      </c>
      <c r="F9" s="22" t="s">
        <v>39</v>
      </c>
      <c r="G9" s="17" t="s">
        <v>110</v>
      </c>
      <c r="H9" s="17" t="s">
        <v>111</v>
      </c>
      <c r="I9" s="9">
        <f t="shared" si="0"/>
        <v>1</v>
      </c>
      <c r="J9" s="17">
        <f t="shared" si="1"/>
        <v>3.89</v>
      </c>
    </row>
    <row r="10" ht="20.1" customHeight="1" spans="1:10">
      <c r="A10" s="11">
        <v>45680</v>
      </c>
      <c r="B10" s="13">
        <v>38094.1</v>
      </c>
      <c r="C10" s="17" t="s">
        <v>52</v>
      </c>
      <c r="D10" s="17" t="s">
        <v>112</v>
      </c>
      <c r="E10" s="23" t="s">
        <v>47</v>
      </c>
      <c r="F10" s="22" t="s">
        <v>39</v>
      </c>
      <c r="G10" s="17" t="s">
        <v>110</v>
      </c>
      <c r="H10" s="17" t="s">
        <v>111</v>
      </c>
      <c r="I10" s="9">
        <f t="shared" si="0"/>
        <v>1</v>
      </c>
      <c r="J10" s="17">
        <f t="shared" si="1"/>
        <v>3.81</v>
      </c>
    </row>
    <row r="11" ht="20.1" customHeight="1" spans="1:10">
      <c r="A11" s="11">
        <v>45702</v>
      </c>
      <c r="B11" s="13">
        <v>27735.78</v>
      </c>
      <c r="C11" s="17" t="s">
        <v>53</v>
      </c>
      <c r="D11" s="17" t="s">
        <v>112</v>
      </c>
      <c r="E11" s="17" t="s">
        <v>47</v>
      </c>
      <c r="F11" s="22" t="s">
        <v>39</v>
      </c>
      <c r="G11" s="17" t="s">
        <v>110</v>
      </c>
      <c r="H11" s="17" t="s">
        <v>111</v>
      </c>
      <c r="I11" s="9">
        <f t="shared" si="0"/>
        <v>2</v>
      </c>
      <c r="J11" s="17">
        <f t="shared" si="1"/>
        <v>2.77</v>
      </c>
    </row>
    <row r="12" ht="20.1" customHeight="1" spans="1:10">
      <c r="A12" s="16">
        <v>45702</v>
      </c>
      <c r="B12" s="13">
        <v>18220.3</v>
      </c>
      <c r="C12" s="17" t="s">
        <v>54</v>
      </c>
      <c r="D12" s="17" t="s">
        <v>24</v>
      </c>
      <c r="E12" s="17" t="s">
        <v>47</v>
      </c>
      <c r="F12" s="22" t="s">
        <v>39</v>
      </c>
      <c r="G12" s="17" t="s">
        <v>110</v>
      </c>
      <c r="H12" s="17" t="s">
        <v>111</v>
      </c>
      <c r="I12" s="9">
        <f t="shared" si="0"/>
        <v>2</v>
      </c>
      <c r="J12" s="17">
        <f t="shared" si="1"/>
        <v>1.82</v>
      </c>
    </row>
    <row r="13" ht="20.1" customHeight="1" spans="1:10">
      <c r="A13" s="11">
        <v>45712</v>
      </c>
      <c r="B13" s="13">
        <v>619.93</v>
      </c>
      <c r="C13" s="17" t="s">
        <v>55</v>
      </c>
      <c r="D13" s="17" t="s">
        <v>112</v>
      </c>
      <c r="E13" s="17" t="s">
        <v>47</v>
      </c>
      <c r="F13" s="22" t="s">
        <v>39</v>
      </c>
      <c r="G13" s="17" t="s">
        <v>110</v>
      </c>
      <c r="H13" s="17" t="s">
        <v>111</v>
      </c>
      <c r="I13" s="9">
        <f t="shared" si="0"/>
        <v>2</v>
      </c>
      <c r="J13" s="17">
        <f t="shared" si="1"/>
        <v>0.06</v>
      </c>
    </row>
    <row r="14" ht="20.1" customHeight="1" spans="1:10">
      <c r="A14" s="11">
        <v>45723</v>
      </c>
      <c r="B14" s="13">
        <v>120741.74</v>
      </c>
      <c r="C14" s="17" t="s">
        <v>56</v>
      </c>
      <c r="D14" s="17" t="s">
        <v>24</v>
      </c>
      <c r="E14" s="17" t="s">
        <v>47</v>
      </c>
      <c r="F14" s="22" t="s">
        <v>39</v>
      </c>
      <c r="G14" s="17" t="s">
        <v>110</v>
      </c>
      <c r="H14" s="17" t="s">
        <v>111</v>
      </c>
      <c r="I14" s="9">
        <f t="shared" si="0"/>
        <v>3</v>
      </c>
      <c r="J14" s="17">
        <f t="shared" si="1"/>
        <v>12.07</v>
      </c>
    </row>
    <row r="15" ht="20.1" customHeight="1" spans="1:10">
      <c r="A15" s="11">
        <v>45723</v>
      </c>
      <c r="B15" s="13">
        <v>47567.09</v>
      </c>
      <c r="C15" s="17" t="s">
        <v>52</v>
      </c>
      <c r="D15" s="17" t="s">
        <v>112</v>
      </c>
      <c r="E15" s="23" t="s">
        <v>47</v>
      </c>
      <c r="F15" s="22" t="s">
        <v>39</v>
      </c>
      <c r="G15" s="17" t="s">
        <v>110</v>
      </c>
      <c r="H15" s="17" t="s">
        <v>111</v>
      </c>
      <c r="I15" s="9">
        <f t="shared" si="0"/>
        <v>3</v>
      </c>
      <c r="J15" s="17">
        <f t="shared" si="1"/>
        <v>4.76</v>
      </c>
    </row>
    <row r="16" ht="20.1" customHeight="1" spans="1:10">
      <c r="A16" s="11">
        <v>45727</v>
      </c>
      <c r="B16" s="13">
        <v>2.51</v>
      </c>
      <c r="C16" s="17" t="s">
        <v>44</v>
      </c>
      <c r="D16" s="17" t="s">
        <v>28</v>
      </c>
      <c r="E16" s="17" t="s">
        <v>57</v>
      </c>
      <c r="F16" s="22" t="s">
        <v>39</v>
      </c>
      <c r="G16" s="17" t="s">
        <v>109</v>
      </c>
      <c r="H16" s="17" t="s">
        <v>111</v>
      </c>
      <c r="I16" s="9">
        <f t="shared" si="0"/>
        <v>3</v>
      </c>
      <c r="J16" s="17">
        <f t="shared" si="1"/>
        <v>0</v>
      </c>
    </row>
    <row r="17" ht="20.1" customHeight="1" spans="1:10">
      <c r="A17" s="11">
        <v>45730</v>
      </c>
      <c r="B17" s="13">
        <v>2242044.46</v>
      </c>
      <c r="C17" s="17" t="s">
        <v>58</v>
      </c>
      <c r="D17" s="17" t="s">
        <v>112</v>
      </c>
      <c r="E17" s="17" t="s">
        <v>47</v>
      </c>
      <c r="F17" s="22" t="s">
        <v>39</v>
      </c>
      <c r="G17" s="17" t="s">
        <v>110</v>
      </c>
      <c r="H17" s="17" t="s">
        <v>111</v>
      </c>
      <c r="I17" s="9">
        <f t="shared" si="0"/>
        <v>3</v>
      </c>
      <c r="J17" s="17">
        <f t="shared" si="1"/>
        <v>224.2</v>
      </c>
    </row>
    <row r="18" ht="20.1" customHeight="1" spans="1:10">
      <c r="A18" s="11">
        <v>45730</v>
      </c>
      <c r="B18" s="13">
        <v>178479.35</v>
      </c>
      <c r="C18" s="17" t="s">
        <v>59</v>
      </c>
      <c r="D18" s="17" t="s">
        <v>112</v>
      </c>
      <c r="E18" s="17" t="s">
        <v>47</v>
      </c>
      <c r="F18" s="22" t="s">
        <v>39</v>
      </c>
      <c r="G18" s="17" t="s">
        <v>110</v>
      </c>
      <c r="H18" s="17" t="s">
        <v>111</v>
      </c>
      <c r="I18" s="9">
        <f t="shared" si="0"/>
        <v>3</v>
      </c>
      <c r="J18" s="17">
        <f t="shared" si="1"/>
        <v>17.85</v>
      </c>
    </row>
    <row r="19" ht="20.1" customHeight="1" spans="1:10">
      <c r="A19" s="16">
        <v>45730</v>
      </c>
      <c r="B19" s="13">
        <v>1387918.57</v>
      </c>
      <c r="C19" s="17" t="s">
        <v>60</v>
      </c>
      <c r="D19" s="17" t="s">
        <v>24</v>
      </c>
      <c r="E19" s="17" t="s">
        <v>47</v>
      </c>
      <c r="F19" s="22" t="s">
        <v>39</v>
      </c>
      <c r="G19" s="17" t="s">
        <v>110</v>
      </c>
      <c r="H19" s="17" t="s">
        <v>111</v>
      </c>
      <c r="I19" s="9">
        <f t="shared" si="0"/>
        <v>3</v>
      </c>
      <c r="J19" s="17">
        <f t="shared" si="1"/>
        <v>138.79</v>
      </c>
    </row>
    <row r="20" ht="20.1" customHeight="1" spans="1:10">
      <c r="A20" s="11">
        <v>45734</v>
      </c>
      <c r="B20" s="13">
        <v>3300.31</v>
      </c>
      <c r="C20" s="17" t="s">
        <v>61</v>
      </c>
      <c r="D20" s="17" t="s">
        <v>112</v>
      </c>
      <c r="E20" s="17" t="s">
        <v>47</v>
      </c>
      <c r="F20" s="22" t="s">
        <v>39</v>
      </c>
      <c r="G20" s="17" t="s">
        <v>110</v>
      </c>
      <c r="H20" s="17" t="s">
        <v>111</v>
      </c>
      <c r="I20" s="9">
        <f t="shared" si="0"/>
        <v>3</v>
      </c>
      <c r="J20" s="17">
        <f t="shared" si="1"/>
        <v>0.33</v>
      </c>
    </row>
    <row r="21" ht="20.1" customHeight="1" spans="1:10">
      <c r="A21" s="16">
        <v>45734</v>
      </c>
      <c r="B21" s="13">
        <v>13601.29</v>
      </c>
      <c r="C21" s="17" t="s">
        <v>55</v>
      </c>
      <c r="D21" s="17" t="s">
        <v>112</v>
      </c>
      <c r="E21" s="17" t="s">
        <v>47</v>
      </c>
      <c r="F21" s="22" t="s">
        <v>39</v>
      </c>
      <c r="G21" s="17" t="s">
        <v>110</v>
      </c>
      <c r="H21" s="17" t="s">
        <v>111</v>
      </c>
      <c r="I21" s="9">
        <f t="shared" si="0"/>
        <v>3</v>
      </c>
      <c r="J21" s="17">
        <f t="shared" si="1"/>
        <v>1.36</v>
      </c>
    </row>
    <row r="22" ht="20.1" customHeight="1" spans="1:10">
      <c r="A22" s="16">
        <v>45740</v>
      </c>
      <c r="B22" s="13">
        <v>69667.88</v>
      </c>
      <c r="C22" s="17" t="s">
        <v>62</v>
      </c>
      <c r="D22" s="17" t="s">
        <v>112</v>
      </c>
      <c r="E22" s="23" t="s">
        <v>63</v>
      </c>
      <c r="F22" s="22" t="s">
        <v>39</v>
      </c>
      <c r="G22" s="17" t="s">
        <v>110</v>
      </c>
      <c r="H22" s="17" t="s">
        <v>111</v>
      </c>
      <c r="I22" s="9">
        <f t="shared" si="0"/>
        <v>3</v>
      </c>
      <c r="J22" s="17">
        <f t="shared" si="1"/>
        <v>6.97</v>
      </c>
    </row>
    <row r="23" ht="20.1" customHeight="1" spans="1:10">
      <c r="A23" s="11">
        <v>45743</v>
      </c>
      <c r="B23" s="13">
        <v>153461.1</v>
      </c>
      <c r="C23" s="17" t="s">
        <v>64</v>
      </c>
      <c r="D23" s="17" t="s">
        <v>112</v>
      </c>
      <c r="E23" s="23" t="s">
        <v>65</v>
      </c>
      <c r="F23" s="22" t="s">
        <v>39</v>
      </c>
      <c r="G23" s="17" t="s">
        <v>110</v>
      </c>
      <c r="H23" s="17" t="s">
        <v>111</v>
      </c>
      <c r="I23" s="9">
        <f t="shared" si="0"/>
        <v>3</v>
      </c>
      <c r="J23" s="17">
        <f t="shared" si="1"/>
        <v>15.35</v>
      </c>
    </row>
    <row r="24" ht="20.1" customHeight="1" spans="1:10">
      <c r="A24" s="11">
        <v>45744</v>
      </c>
      <c r="B24" s="13">
        <v>1298563.48</v>
      </c>
      <c r="C24" s="17" t="s">
        <v>56</v>
      </c>
      <c r="D24" s="17" t="s">
        <v>24</v>
      </c>
      <c r="E24" s="23" t="s">
        <v>47</v>
      </c>
      <c r="F24" s="22" t="s">
        <v>39</v>
      </c>
      <c r="G24" s="17" t="s">
        <v>110</v>
      </c>
      <c r="H24" s="17" t="s">
        <v>111</v>
      </c>
      <c r="I24" s="9">
        <f t="shared" si="0"/>
        <v>3</v>
      </c>
      <c r="J24" s="17">
        <f t="shared" si="1"/>
        <v>129.86</v>
      </c>
    </row>
    <row r="25" ht="20.1" customHeight="1" spans="1:10">
      <c r="A25" s="16">
        <v>45744</v>
      </c>
      <c r="B25" s="13">
        <v>38301.57</v>
      </c>
      <c r="C25" s="17" t="s">
        <v>52</v>
      </c>
      <c r="D25" s="17" t="s">
        <v>112</v>
      </c>
      <c r="E25" s="23" t="s">
        <v>47</v>
      </c>
      <c r="F25" s="22" t="s">
        <v>39</v>
      </c>
      <c r="G25" s="17" t="s">
        <v>110</v>
      </c>
      <c r="H25" s="17" t="s">
        <v>111</v>
      </c>
      <c r="I25" s="9">
        <f t="shared" si="0"/>
        <v>3</v>
      </c>
      <c r="J25" s="17">
        <f t="shared" si="1"/>
        <v>3.83</v>
      </c>
    </row>
    <row r="26" ht="20.1" customHeight="1" spans="1:10">
      <c r="A26" s="11">
        <v>45754</v>
      </c>
      <c r="B26" s="13">
        <v>14721.91</v>
      </c>
      <c r="C26" s="17" t="s">
        <v>37</v>
      </c>
      <c r="D26" s="17" t="s">
        <v>28</v>
      </c>
      <c r="E26" s="17" t="s">
        <v>38</v>
      </c>
      <c r="F26" s="22" t="s">
        <v>39</v>
      </c>
      <c r="G26" s="17" t="s">
        <v>109</v>
      </c>
      <c r="H26" s="17" t="s">
        <v>26</v>
      </c>
      <c r="I26" s="9">
        <f t="shared" si="0"/>
        <v>4</v>
      </c>
      <c r="J26" s="17">
        <f t="shared" si="1"/>
        <v>1.47</v>
      </c>
    </row>
    <row r="27" ht="20.1" customHeight="1" spans="1:10">
      <c r="A27" s="11">
        <v>45756</v>
      </c>
      <c r="B27" s="13">
        <v>4609.24</v>
      </c>
      <c r="C27" s="17" t="s">
        <v>66</v>
      </c>
      <c r="D27" s="17" t="s">
        <v>28</v>
      </c>
      <c r="E27" s="17" t="s">
        <v>67</v>
      </c>
      <c r="F27" s="22" t="s">
        <v>39</v>
      </c>
      <c r="G27" s="17" t="s">
        <v>109</v>
      </c>
      <c r="H27" s="17" t="s">
        <v>26</v>
      </c>
      <c r="I27" s="9">
        <f t="shared" si="0"/>
        <v>4</v>
      </c>
      <c r="J27" s="17">
        <f t="shared" si="1"/>
        <v>0.46</v>
      </c>
    </row>
    <row r="28" ht="20.1" customHeight="1" spans="1:10">
      <c r="A28" s="11">
        <v>45756</v>
      </c>
      <c r="B28" s="13">
        <v>23293.53</v>
      </c>
      <c r="C28" s="17" t="s">
        <v>44</v>
      </c>
      <c r="D28" s="17" t="s">
        <v>28</v>
      </c>
      <c r="E28" s="17" t="s">
        <v>45</v>
      </c>
      <c r="F28" s="22" t="s">
        <v>39</v>
      </c>
      <c r="G28" s="17" t="s">
        <v>109</v>
      </c>
      <c r="H28" s="17" t="s">
        <v>26</v>
      </c>
      <c r="I28" s="9">
        <f t="shared" si="0"/>
        <v>4</v>
      </c>
      <c r="J28" s="17">
        <f t="shared" si="1"/>
        <v>2.33</v>
      </c>
    </row>
    <row r="29" ht="20.1" customHeight="1" spans="1:10">
      <c r="A29" s="11">
        <v>45757</v>
      </c>
      <c r="B29" s="13">
        <v>25830.57</v>
      </c>
      <c r="C29" s="17" t="s">
        <v>42</v>
      </c>
      <c r="D29" s="17" t="s">
        <v>28</v>
      </c>
      <c r="E29" s="17" t="s">
        <v>43</v>
      </c>
      <c r="F29" s="22" t="s">
        <v>39</v>
      </c>
      <c r="G29" s="17" t="s">
        <v>109</v>
      </c>
      <c r="H29" s="17" t="s">
        <v>26</v>
      </c>
      <c r="I29" s="9">
        <f t="shared" si="0"/>
        <v>4</v>
      </c>
      <c r="J29" s="17">
        <f t="shared" si="1"/>
        <v>2.58</v>
      </c>
    </row>
    <row r="30" ht="20.1" customHeight="1" spans="1:10">
      <c r="A30" s="11">
        <v>45757</v>
      </c>
      <c r="B30" s="13">
        <v>4450.35</v>
      </c>
      <c r="C30" s="17" t="s">
        <v>68</v>
      </c>
      <c r="D30" s="17" t="s">
        <v>28</v>
      </c>
      <c r="E30" s="17" t="s">
        <v>69</v>
      </c>
      <c r="F30" s="22" t="s">
        <v>39</v>
      </c>
      <c r="G30" s="17" t="s">
        <v>109</v>
      </c>
      <c r="H30" s="17" t="s">
        <v>26</v>
      </c>
      <c r="I30" s="9">
        <f t="shared" si="0"/>
        <v>4</v>
      </c>
      <c r="J30" s="17">
        <f t="shared" si="1"/>
        <v>0.45</v>
      </c>
    </row>
    <row r="31" ht="20.1" customHeight="1" spans="1:10">
      <c r="A31" s="16">
        <v>45762</v>
      </c>
      <c r="B31" s="13">
        <v>11360.98</v>
      </c>
      <c r="C31" s="17" t="s">
        <v>40</v>
      </c>
      <c r="D31" s="17" t="s">
        <v>28</v>
      </c>
      <c r="E31" s="17" t="s">
        <v>70</v>
      </c>
      <c r="F31" s="22" t="s">
        <v>39</v>
      </c>
      <c r="G31" s="17" t="s">
        <v>109</v>
      </c>
      <c r="H31" s="17" t="s">
        <v>26</v>
      </c>
      <c r="I31" s="9">
        <f t="shared" si="0"/>
        <v>4</v>
      </c>
      <c r="J31" s="17">
        <f t="shared" si="1"/>
        <v>1.14</v>
      </c>
    </row>
    <row r="32" ht="20.1" customHeight="1" spans="1:10">
      <c r="A32" s="11">
        <v>45763</v>
      </c>
      <c r="B32" s="13">
        <v>34688.1</v>
      </c>
      <c r="C32" s="17" t="s">
        <v>48</v>
      </c>
      <c r="D32" s="17" t="s">
        <v>112</v>
      </c>
      <c r="E32" s="17" t="s">
        <v>47</v>
      </c>
      <c r="F32" s="22" t="s">
        <v>39</v>
      </c>
      <c r="G32" s="17" t="s">
        <v>110</v>
      </c>
      <c r="H32" s="17" t="s">
        <v>111</v>
      </c>
      <c r="I32" s="9">
        <f t="shared" si="0"/>
        <v>4</v>
      </c>
      <c r="J32" s="17">
        <f t="shared" si="1"/>
        <v>3.47</v>
      </c>
    </row>
    <row r="33" ht="20.1" customHeight="1" spans="1:10">
      <c r="A33" s="11">
        <v>45763</v>
      </c>
      <c r="B33" s="13">
        <v>295884.13</v>
      </c>
      <c r="C33" s="17" t="s">
        <v>46</v>
      </c>
      <c r="D33" s="17" t="s">
        <v>24</v>
      </c>
      <c r="E33" s="17" t="s">
        <v>47</v>
      </c>
      <c r="F33" s="22" t="s">
        <v>39</v>
      </c>
      <c r="G33" s="17" t="s">
        <v>110</v>
      </c>
      <c r="H33" s="17" t="s">
        <v>111</v>
      </c>
      <c r="I33" s="9">
        <f t="shared" si="0"/>
        <v>4</v>
      </c>
      <c r="J33" s="17">
        <f t="shared" si="1"/>
        <v>29.59</v>
      </c>
    </row>
    <row r="34" ht="20.1" customHeight="1" spans="1:10">
      <c r="A34" s="11">
        <v>45765</v>
      </c>
      <c r="B34" s="13">
        <v>9933.01</v>
      </c>
      <c r="C34" s="17" t="s">
        <v>71</v>
      </c>
      <c r="D34" s="17" t="s">
        <v>112</v>
      </c>
      <c r="E34" s="17" t="s">
        <v>72</v>
      </c>
      <c r="F34" s="22" t="s">
        <v>39</v>
      </c>
      <c r="G34" s="17" t="s">
        <v>110</v>
      </c>
      <c r="H34" s="17" t="s">
        <v>111</v>
      </c>
      <c r="I34" s="9">
        <f t="shared" si="0"/>
        <v>4</v>
      </c>
      <c r="J34" s="17">
        <f t="shared" si="1"/>
        <v>0.99</v>
      </c>
    </row>
    <row r="35" ht="20.1" customHeight="1" spans="1:10">
      <c r="A35" s="11">
        <v>45770</v>
      </c>
      <c r="B35" s="13">
        <v>37606.93</v>
      </c>
      <c r="C35" s="17" t="s">
        <v>52</v>
      </c>
      <c r="D35" s="17" t="s">
        <v>112</v>
      </c>
      <c r="E35" s="17" t="s">
        <v>47</v>
      </c>
      <c r="F35" s="22" t="s">
        <v>39</v>
      </c>
      <c r="G35" s="17" t="s">
        <v>110</v>
      </c>
      <c r="H35" s="17" t="s">
        <v>111</v>
      </c>
      <c r="I35" s="9">
        <f t="shared" si="0"/>
        <v>4</v>
      </c>
      <c r="J35" s="17">
        <f t="shared" si="1"/>
        <v>3.76</v>
      </c>
    </row>
    <row r="36" ht="20.1" customHeight="1" spans="1:10">
      <c r="A36" s="11">
        <v>45770</v>
      </c>
      <c r="B36" s="13">
        <v>28573.39</v>
      </c>
      <c r="C36" s="17" t="s">
        <v>51</v>
      </c>
      <c r="D36" s="17" t="s">
        <v>112</v>
      </c>
      <c r="E36" s="17" t="s">
        <v>47</v>
      </c>
      <c r="F36" s="22" t="s">
        <v>39</v>
      </c>
      <c r="G36" s="17" t="s">
        <v>110</v>
      </c>
      <c r="H36" s="17" t="s">
        <v>111</v>
      </c>
      <c r="I36" s="9">
        <f t="shared" si="0"/>
        <v>4</v>
      </c>
      <c r="J36" s="17">
        <f t="shared" si="1"/>
        <v>2.86</v>
      </c>
    </row>
    <row r="37" ht="20.1" customHeight="1" spans="1:10">
      <c r="A37" s="11">
        <v>45786</v>
      </c>
      <c r="B37" s="13">
        <v>307264.02</v>
      </c>
      <c r="C37" s="17" t="s">
        <v>73</v>
      </c>
      <c r="D37" s="17" t="s">
        <v>24</v>
      </c>
      <c r="E37" s="23" t="s">
        <v>47</v>
      </c>
      <c r="F37" s="22" t="s">
        <v>39</v>
      </c>
      <c r="G37" s="17" t="s">
        <v>110</v>
      </c>
      <c r="H37" s="17" t="s">
        <v>111</v>
      </c>
      <c r="I37" s="9">
        <f t="shared" si="0"/>
        <v>5</v>
      </c>
      <c r="J37" s="17">
        <f t="shared" si="1"/>
        <v>30.73</v>
      </c>
    </row>
    <row r="38" ht="20.1" customHeight="1" spans="1:10">
      <c r="A38" s="16">
        <v>45793</v>
      </c>
      <c r="B38" s="13">
        <v>28738.94</v>
      </c>
      <c r="C38" s="17" t="s">
        <v>53</v>
      </c>
      <c r="D38" s="17" t="s">
        <v>112</v>
      </c>
      <c r="E38" s="17" t="s">
        <v>47</v>
      </c>
      <c r="F38" s="22" t="s">
        <v>39</v>
      </c>
      <c r="G38" s="17" t="s">
        <v>110</v>
      </c>
      <c r="H38" s="17" t="s">
        <v>111</v>
      </c>
      <c r="I38" s="9">
        <f t="shared" si="0"/>
        <v>5</v>
      </c>
      <c r="J38" s="17">
        <f t="shared" si="1"/>
        <v>2.87</v>
      </c>
    </row>
    <row r="39" ht="20.1" customHeight="1" spans="1:10">
      <c r="A39" s="11">
        <v>45793</v>
      </c>
      <c r="B39" s="13">
        <v>114440.61</v>
      </c>
      <c r="C39" s="17" t="s">
        <v>54</v>
      </c>
      <c r="D39" s="17" t="s">
        <v>24</v>
      </c>
      <c r="E39" s="17" t="s">
        <v>47</v>
      </c>
      <c r="F39" s="22" t="s">
        <v>39</v>
      </c>
      <c r="G39" s="17" t="s">
        <v>110</v>
      </c>
      <c r="H39" s="17" t="s">
        <v>111</v>
      </c>
      <c r="I39" s="9">
        <f t="shared" si="0"/>
        <v>5</v>
      </c>
      <c r="J39" s="17">
        <f t="shared" si="1"/>
        <v>11.44</v>
      </c>
    </row>
    <row r="40" ht="20.1" customHeight="1" spans="1:10">
      <c r="A40" s="11">
        <v>45798</v>
      </c>
      <c r="B40" s="13">
        <v>37464.93</v>
      </c>
      <c r="C40" s="17" t="s">
        <v>52</v>
      </c>
      <c r="D40" s="17" t="s">
        <v>112</v>
      </c>
      <c r="E40" s="17" t="s">
        <v>47</v>
      </c>
      <c r="F40" s="22" t="s">
        <v>39</v>
      </c>
      <c r="G40" s="17" t="s">
        <v>110</v>
      </c>
      <c r="H40" s="17" t="s">
        <v>111</v>
      </c>
      <c r="I40" s="9">
        <f t="shared" si="0"/>
        <v>5</v>
      </c>
      <c r="J40" s="17">
        <f t="shared" si="1"/>
        <v>3.75</v>
      </c>
    </row>
    <row r="41" ht="20.1" customHeight="1" spans="1:10">
      <c r="A41" s="16">
        <v>45798</v>
      </c>
      <c r="B41" s="13">
        <v>894304.12</v>
      </c>
      <c r="C41" s="17" t="s">
        <v>56</v>
      </c>
      <c r="D41" s="17" t="s">
        <v>24</v>
      </c>
      <c r="E41" s="17" t="s">
        <v>47</v>
      </c>
      <c r="F41" s="22" t="s">
        <v>39</v>
      </c>
      <c r="G41" s="17" t="s">
        <v>110</v>
      </c>
      <c r="H41" s="17" t="s">
        <v>111</v>
      </c>
      <c r="I41" s="9">
        <f t="shared" si="0"/>
        <v>5</v>
      </c>
      <c r="J41" s="17">
        <f t="shared" si="1"/>
        <v>89.43</v>
      </c>
    </row>
    <row r="42" ht="20.1" customHeight="1" spans="1:10">
      <c r="A42" s="11">
        <v>45825</v>
      </c>
      <c r="B42" s="13">
        <v>187171.69</v>
      </c>
      <c r="C42" s="17" t="s">
        <v>59</v>
      </c>
      <c r="D42" s="17" t="s">
        <v>112</v>
      </c>
      <c r="E42" s="17" t="s">
        <v>47</v>
      </c>
      <c r="F42" s="22" t="s">
        <v>39</v>
      </c>
      <c r="G42" s="17" t="s">
        <v>110</v>
      </c>
      <c r="H42" s="17" t="s">
        <v>111</v>
      </c>
      <c r="I42" s="9">
        <f t="shared" si="0"/>
        <v>6</v>
      </c>
      <c r="J42" s="17">
        <f t="shared" si="1"/>
        <v>18.72</v>
      </c>
    </row>
    <row r="43" ht="20.1" customHeight="1" spans="1:10">
      <c r="A43" s="11">
        <v>45825</v>
      </c>
      <c r="B43" s="13">
        <v>810916.73</v>
      </c>
      <c r="C43" s="17" t="s">
        <v>60</v>
      </c>
      <c r="D43" s="17" t="s">
        <v>24</v>
      </c>
      <c r="E43" s="17" t="s">
        <v>47</v>
      </c>
      <c r="F43" s="22" t="s">
        <v>39</v>
      </c>
      <c r="G43" s="17" t="s">
        <v>110</v>
      </c>
      <c r="H43" s="17" t="s">
        <v>111</v>
      </c>
      <c r="I43" s="9">
        <f t="shared" si="0"/>
        <v>6</v>
      </c>
      <c r="J43" s="17">
        <f t="shared" si="1"/>
        <v>81.09</v>
      </c>
    </row>
    <row r="44" ht="20.1" customHeight="1" spans="1:10">
      <c r="A44" s="11">
        <v>45827</v>
      </c>
      <c r="B44" s="13">
        <v>3429.06</v>
      </c>
      <c r="C44" s="17" t="s">
        <v>61</v>
      </c>
      <c r="D44" s="17" t="s">
        <v>112</v>
      </c>
      <c r="E44" s="17" t="s">
        <v>47</v>
      </c>
      <c r="F44" s="22" t="s">
        <v>39</v>
      </c>
      <c r="G44" s="17" t="s">
        <v>110</v>
      </c>
      <c r="H44" s="17" t="s">
        <v>111</v>
      </c>
      <c r="I44" s="9">
        <f t="shared" si="0"/>
        <v>6</v>
      </c>
      <c r="J44" s="17">
        <f t="shared" si="1"/>
        <v>0.34</v>
      </c>
    </row>
    <row r="45" ht="20.1" customHeight="1" spans="1:10">
      <c r="A45" s="11">
        <v>45827</v>
      </c>
      <c r="B45" s="13">
        <v>1497289.74</v>
      </c>
      <c r="C45" s="17" t="s">
        <v>58</v>
      </c>
      <c r="D45" s="17" t="s">
        <v>112</v>
      </c>
      <c r="E45" s="17" t="s">
        <v>47</v>
      </c>
      <c r="F45" s="22" t="s">
        <v>39</v>
      </c>
      <c r="G45" s="17" t="s">
        <v>110</v>
      </c>
      <c r="H45" s="17" t="s">
        <v>111</v>
      </c>
      <c r="I45" s="9">
        <f t="shared" si="0"/>
        <v>6</v>
      </c>
      <c r="J45" s="17">
        <f t="shared" si="1"/>
        <v>149.73</v>
      </c>
    </row>
    <row r="46" ht="20.1" customHeight="1" spans="1:10">
      <c r="A46" s="11">
        <v>45831</v>
      </c>
      <c r="B46" s="13">
        <v>71997.51</v>
      </c>
      <c r="C46" s="17" t="s">
        <v>62</v>
      </c>
      <c r="D46" s="17" t="s">
        <v>112</v>
      </c>
      <c r="E46" s="17" t="s">
        <v>63</v>
      </c>
      <c r="F46" s="22" t="s">
        <v>39</v>
      </c>
      <c r="G46" s="17" t="s">
        <v>110</v>
      </c>
      <c r="H46" s="17" t="s">
        <v>111</v>
      </c>
      <c r="I46" s="9">
        <f t="shared" si="0"/>
        <v>6</v>
      </c>
      <c r="J46" s="17">
        <f t="shared" si="1"/>
        <v>7.2</v>
      </c>
    </row>
    <row r="47" ht="20.1" customHeight="1" spans="1:10">
      <c r="A47" s="11">
        <v>45834</v>
      </c>
      <c r="B47" s="13">
        <v>202.48</v>
      </c>
      <c r="C47" s="17" t="s">
        <v>74</v>
      </c>
      <c r="D47" s="17" t="s">
        <v>24</v>
      </c>
      <c r="E47" s="17" t="s">
        <v>47</v>
      </c>
      <c r="F47" s="22" t="s">
        <v>39</v>
      </c>
      <c r="G47" s="17" t="s">
        <v>110</v>
      </c>
      <c r="H47" s="17" t="s">
        <v>111</v>
      </c>
      <c r="I47" s="9">
        <f t="shared" si="0"/>
        <v>6</v>
      </c>
      <c r="J47" s="17">
        <f t="shared" si="1"/>
        <v>0.02</v>
      </c>
    </row>
    <row r="48" ht="20.1" customHeight="1" spans="1:10">
      <c r="A48" s="11">
        <v>45834</v>
      </c>
      <c r="B48" s="13">
        <v>872.22</v>
      </c>
      <c r="C48" s="17" t="s">
        <v>40</v>
      </c>
      <c r="D48" s="17" t="s">
        <v>28</v>
      </c>
      <c r="E48" s="17" t="s">
        <v>57</v>
      </c>
      <c r="F48" s="22" t="s">
        <v>39</v>
      </c>
      <c r="G48" s="17" t="s">
        <v>109</v>
      </c>
      <c r="H48" s="17" t="s">
        <v>26</v>
      </c>
      <c r="I48" s="9">
        <f t="shared" si="0"/>
        <v>6</v>
      </c>
      <c r="J48" s="17">
        <f t="shared" si="1"/>
        <v>0.09</v>
      </c>
    </row>
    <row r="49" ht="20.1" customHeight="1" spans="1:10">
      <c r="A49" s="11">
        <v>45835</v>
      </c>
      <c r="B49" s="13">
        <v>112350.2</v>
      </c>
      <c r="C49" s="17" t="s">
        <v>64</v>
      </c>
      <c r="D49" s="17" t="s">
        <v>112</v>
      </c>
      <c r="E49" s="17" t="s">
        <v>65</v>
      </c>
      <c r="F49" s="22" t="s">
        <v>39</v>
      </c>
      <c r="G49" s="17" t="s">
        <v>110</v>
      </c>
      <c r="H49" s="17" t="s">
        <v>111</v>
      </c>
      <c r="I49" s="9">
        <f t="shared" si="0"/>
        <v>6</v>
      </c>
      <c r="J49" s="17">
        <f t="shared" si="1"/>
        <v>11.24</v>
      </c>
    </row>
    <row r="50" ht="20.1" customHeight="1" spans="1:10">
      <c r="A50" s="11">
        <v>45841</v>
      </c>
      <c r="B50" s="13">
        <v>12670.31</v>
      </c>
      <c r="C50" s="17" t="s">
        <v>37</v>
      </c>
      <c r="D50" s="17" t="s">
        <v>28</v>
      </c>
      <c r="E50" s="17" t="s">
        <v>38</v>
      </c>
      <c r="F50" s="22" t="s">
        <v>39</v>
      </c>
      <c r="G50" s="17" t="s">
        <v>109</v>
      </c>
      <c r="H50" s="17" t="s">
        <v>26</v>
      </c>
      <c r="I50" s="9">
        <f t="shared" si="0"/>
        <v>7</v>
      </c>
      <c r="J50" s="17">
        <f t="shared" si="1"/>
        <v>1.27</v>
      </c>
    </row>
    <row r="51" ht="20.1" customHeight="1" spans="1:10">
      <c r="A51" s="11">
        <v>45847</v>
      </c>
      <c r="B51" s="13">
        <v>23141.89</v>
      </c>
      <c r="C51" s="17" t="s">
        <v>66</v>
      </c>
      <c r="D51" s="17" t="s">
        <v>28</v>
      </c>
      <c r="E51" s="17" t="s">
        <v>67</v>
      </c>
      <c r="F51" s="22" t="s">
        <v>39</v>
      </c>
      <c r="G51" s="17" t="s">
        <v>109</v>
      </c>
      <c r="H51" s="17" t="s">
        <v>26</v>
      </c>
      <c r="I51" s="9">
        <f t="shared" si="0"/>
        <v>7</v>
      </c>
      <c r="J51" s="17">
        <f t="shared" si="1"/>
        <v>2.31</v>
      </c>
    </row>
    <row r="52" ht="20.1" customHeight="1" spans="1:10">
      <c r="A52" s="11">
        <v>45847</v>
      </c>
      <c r="B52" s="13">
        <v>2918.52</v>
      </c>
      <c r="C52" s="17" t="s">
        <v>40</v>
      </c>
      <c r="D52" s="17" t="s">
        <v>28</v>
      </c>
      <c r="E52" s="17" t="s">
        <v>70</v>
      </c>
      <c r="F52" s="22" t="s">
        <v>39</v>
      </c>
      <c r="G52" s="17" t="s">
        <v>109</v>
      </c>
      <c r="H52" s="17" t="s">
        <v>26</v>
      </c>
      <c r="I52" s="9">
        <f t="shared" si="0"/>
        <v>7</v>
      </c>
      <c r="J52" s="17">
        <f t="shared" si="1"/>
        <v>0.29</v>
      </c>
    </row>
    <row r="53" ht="20.1" customHeight="1" spans="1:10">
      <c r="A53" s="11">
        <v>45849</v>
      </c>
      <c r="B53" s="13">
        <v>31454.1</v>
      </c>
      <c r="C53" s="17" t="s">
        <v>42</v>
      </c>
      <c r="D53" s="17" t="s">
        <v>28</v>
      </c>
      <c r="E53" s="17" t="s">
        <v>43</v>
      </c>
      <c r="F53" s="22" t="s">
        <v>39</v>
      </c>
      <c r="G53" s="17" t="s">
        <v>109</v>
      </c>
      <c r="H53" s="17" t="s">
        <v>26</v>
      </c>
      <c r="I53" s="9">
        <f t="shared" si="0"/>
        <v>7</v>
      </c>
      <c r="J53" s="17">
        <f t="shared" si="1"/>
        <v>3.15</v>
      </c>
    </row>
    <row r="54" ht="20.1" customHeight="1" spans="1:10">
      <c r="A54" s="11">
        <v>45849</v>
      </c>
      <c r="B54" s="13">
        <v>25012.29</v>
      </c>
      <c r="C54" s="17" t="s">
        <v>44</v>
      </c>
      <c r="D54" s="17" t="s">
        <v>28</v>
      </c>
      <c r="E54" s="17" t="s">
        <v>45</v>
      </c>
      <c r="F54" s="22" t="s">
        <v>39</v>
      </c>
      <c r="G54" s="17" t="s">
        <v>109</v>
      </c>
      <c r="H54" s="17" t="s">
        <v>26</v>
      </c>
      <c r="I54" s="9">
        <f t="shared" si="0"/>
        <v>7</v>
      </c>
      <c r="J54" s="17">
        <f t="shared" si="1"/>
        <v>2.5</v>
      </c>
    </row>
    <row r="55" ht="20.1" customHeight="1" spans="1:10">
      <c r="A55" s="11">
        <v>45854</v>
      </c>
      <c r="B55" s="13">
        <v>25661.21</v>
      </c>
      <c r="C55" s="17" t="s">
        <v>51</v>
      </c>
      <c r="D55" s="17" t="s">
        <v>112</v>
      </c>
      <c r="E55" s="17" t="s">
        <v>47</v>
      </c>
      <c r="F55" s="22" t="s">
        <v>39</v>
      </c>
      <c r="G55" s="17" t="s">
        <v>110</v>
      </c>
      <c r="H55" s="17" t="s">
        <v>111</v>
      </c>
      <c r="I55" s="9">
        <f t="shared" si="0"/>
        <v>7</v>
      </c>
      <c r="J55" s="17">
        <f t="shared" si="1"/>
        <v>2.57</v>
      </c>
    </row>
    <row r="56" ht="20.1" customHeight="1" spans="1:10">
      <c r="A56" s="11">
        <v>45854</v>
      </c>
      <c r="B56" s="13">
        <v>31551</v>
      </c>
      <c r="C56" s="17" t="s">
        <v>73</v>
      </c>
      <c r="D56" s="17" t="s">
        <v>24</v>
      </c>
      <c r="E56" s="17" t="s">
        <v>47</v>
      </c>
      <c r="F56" s="9" t="s">
        <v>39</v>
      </c>
      <c r="G56" s="17" t="s">
        <v>110</v>
      </c>
      <c r="H56" s="17" t="s">
        <v>111</v>
      </c>
      <c r="I56" s="9">
        <f t="shared" si="0"/>
        <v>7</v>
      </c>
      <c r="J56" s="17">
        <f t="shared" si="1"/>
        <v>3.16</v>
      </c>
    </row>
    <row r="57" ht="20.1" customHeight="1" spans="1:10">
      <c r="A57" s="11">
        <v>45854</v>
      </c>
      <c r="B57" s="13">
        <v>34322.39</v>
      </c>
      <c r="C57" s="17" t="s">
        <v>46</v>
      </c>
      <c r="D57" s="17" t="s">
        <v>24</v>
      </c>
      <c r="E57" s="17" t="s">
        <v>47</v>
      </c>
      <c r="F57" s="9" t="s">
        <v>39</v>
      </c>
      <c r="G57" s="17" t="s">
        <v>110</v>
      </c>
      <c r="H57" s="17" t="s">
        <v>111</v>
      </c>
      <c r="I57" s="9">
        <f t="shared" si="0"/>
        <v>7</v>
      </c>
      <c r="J57" s="17">
        <f t="shared" si="1"/>
        <v>3.43</v>
      </c>
    </row>
    <row r="58" ht="20.1" customHeight="1" spans="1:10">
      <c r="A58" s="11">
        <v>45854</v>
      </c>
      <c r="B58" s="13">
        <v>32358.02</v>
      </c>
      <c r="C58" s="17" t="s">
        <v>48</v>
      </c>
      <c r="D58" s="17" t="s">
        <v>112</v>
      </c>
      <c r="E58" s="17" t="s">
        <v>47</v>
      </c>
      <c r="F58" s="9" t="s">
        <v>39</v>
      </c>
      <c r="G58" s="17" t="s">
        <v>110</v>
      </c>
      <c r="H58" s="17" t="s">
        <v>111</v>
      </c>
      <c r="I58" s="9">
        <f t="shared" si="0"/>
        <v>7</v>
      </c>
      <c r="J58" s="17">
        <f t="shared" si="1"/>
        <v>3.24</v>
      </c>
    </row>
    <row r="59" ht="20.1" customHeight="1" spans="1:10">
      <c r="A59" s="11">
        <v>45874</v>
      </c>
      <c r="B59" s="13">
        <v>23264.01</v>
      </c>
      <c r="C59" s="17" t="s">
        <v>68</v>
      </c>
      <c r="D59" s="17" t="s">
        <v>28</v>
      </c>
      <c r="E59" s="17" t="s">
        <v>90</v>
      </c>
      <c r="F59" s="9" t="s">
        <v>39</v>
      </c>
      <c r="G59" s="17" t="s">
        <v>109</v>
      </c>
      <c r="H59" s="17" t="s">
        <v>26</v>
      </c>
      <c r="I59" s="9">
        <v>8</v>
      </c>
      <c r="J59" s="17">
        <f t="shared" si="1"/>
        <v>2.33</v>
      </c>
    </row>
    <row r="60" ht="20.1" customHeight="1" spans="1:10">
      <c r="A60" s="11">
        <v>45884</v>
      </c>
      <c r="B60" s="13">
        <v>28542.94</v>
      </c>
      <c r="C60" s="17" t="s">
        <v>53</v>
      </c>
      <c r="D60" s="17" t="s">
        <v>112</v>
      </c>
      <c r="E60" s="17" t="s">
        <v>47</v>
      </c>
      <c r="F60" s="9" t="s">
        <v>39</v>
      </c>
      <c r="G60" s="17" t="s">
        <v>110</v>
      </c>
      <c r="H60" s="17" t="s">
        <v>111</v>
      </c>
      <c r="I60" s="9">
        <v>8</v>
      </c>
      <c r="J60" s="17">
        <f t="shared" si="1"/>
        <v>2.85</v>
      </c>
    </row>
    <row r="61" ht="20.1" customHeight="1" spans="1:10">
      <c r="A61" s="11">
        <v>45884</v>
      </c>
      <c r="B61" s="13">
        <v>78170.67</v>
      </c>
      <c r="C61" s="17" t="s">
        <v>91</v>
      </c>
      <c r="D61" s="17" t="s">
        <v>24</v>
      </c>
      <c r="E61" s="17" t="s">
        <v>47</v>
      </c>
      <c r="F61" s="9" t="s">
        <v>39</v>
      </c>
      <c r="G61" s="17" t="s">
        <v>110</v>
      </c>
      <c r="H61" s="17" t="s">
        <v>111</v>
      </c>
      <c r="I61" s="9">
        <v>8</v>
      </c>
      <c r="J61" s="17">
        <f t="shared" si="1"/>
        <v>7.82</v>
      </c>
    </row>
    <row r="62" ht="20.1" customHeight="1" spans="1:10">
      <c r="A62" s="11">
        <v>45890</v>
      </c>
      <c r="B62" s="13">
        <v>121985.16</v>
      </c>
      <c r="C62" s="17" t="s">
        <v>52</v>
      </c>
      <c r="D62" s="17" t="s">
        <v>112</v>
      </c>
      <c r="E62" s="17" t="s">
        <v>47</v>
      </c>
      <c r="F62" s="9" t="s">
        <v>39</v>
      </c>
      <c r="G62" s="17" t="s">
        <v>110</v>
      </c>
      <c r="H62" s="17" t="s">
        <v>111</v>
      </c>
      <c r="I62" s="9">
        <v>8</v>
      </c>
      <c r="J62" s="17">
        <f t="shared" si="1"/>
        <v>12.2</v>
      </c>
    </row>
    <row r="63" ht="20.1" customHeight="1" spans="1:10">
      <c r="A63" s="11">
        <v>45890</v>
      </c>
      <c r="B63" s="13">
        <v>105563.9</v>
      </c>
      <c r="C63" s="17" t="s">
        <v>56</v>
      </c>
      <c r="D63" s="17" t="s">
        <v>24</v>
      </c>
      <c r="E63" s="17" t="s">
        <v>47</v>
      </c>
      <c r="F63" s="9" t="s">
        <v>39</v>
      </c>
      <c r="G63" s="17" t="s">
        <v>110</v>
      </c>
      <c r="H63" s="17" t="s">
        <v>111</v>
      </c>
      <c r="I63" s="9">
        <v>8</v>
      </c>
      <c r="J63" s="17">
        <f t="shared" si="1"/>
        <v>10.56</v>
      </c>
    </row>
    <row r="64" ht="20.1" customHeight="1" spans="1:10">
      <c r="A64" s="11">
        <v>45903</v>
      </c>
      <c r="B64" s="13">
        <v>152167.72</v>
      </c>
      <c r="C64" s="17" t="s">
        <v>42</v>
      </c>
      <c r="D64" s="17" t="s">
        <v>28</v>
      </c>
      <c r="E64" s="17" t="s">
        <v>57</v>
      </c>
      <c r="F64" s="9" t="s">
        <v>39</v>
      </c>
      <c r="G64" s="17" t="s">
        <v>109</v>
      </c>
      <c r="H64" s="17" t="s">
        <v>26</v>
      </c>
      <c r="I64" s="9">
        <v>9</v>
      </c>
      <c r="J64" s="17">
        <f t="shared" si="1"/>
        <v>15.22</v>
      </c>
    </row>
    <row r="65" ht="20.1" customHeight="1" spans="1:10">
      <c r="A65" s="11">
        <v>45903</v>
      </c>
      <c r="B65" s="13">
        <v>70735.22</v>
      </c>
      <c r="C65" s="17" t="s">
        <v>68</v>
      </c>
      <c r="D65" s="17" t="s">
        <v>28</v>
      </c>
      <c r="E65" s="17" t="s">
        <v>57</v>
      </c>
      <c r="F65" s="9" t="s">
        <v>39</v>
      </c>
      <c r="G65" s="17" t="s">
        <v>109</v>
      </c>
      <c r="H65" s="17" t="s">
        <v>26</v>
      </c>
      <c r="I65" s="9">
        <v>9</v>
      </c>
      <c r="J65" s="17">
        <f t="shared" si="1"/>
        <v>7.07</v>
      </c>
    </row>
    <row r="66" ht="20.1" customHeight="1" spans="1:10">
      <c r="A66" s="11">
        <v>45904</v>
      </c>
      <c r="B66" s="13">
        <v>134.95</v>
      </c>
      <c r="C66" s="17" t="s">
        <v>44</v>
      </c>
      <c r="D66" s="17" t="s">
        <v>28</v>
      </c>
      <c r="E66" s="17" t="s">
        <v>57</v>
      </c>
      <c r="F66" s="9" t="s">
        <v>39</v>
      </c>
      <c r="G66" s="17" t="s">
        <v>109</v>
      </c>
      <c r="H66" s="17" t="s">
        <v>26</v>
      </c>
      <c r="I66" s="9">
        <v>9</v>
      </c>
      <c r="J66" s="17">
        <f t="shared" ref="J66:J86" si="2">ROUND(B66/10000,2)</f>
        <v>0.01</v>
      </c>
    </row>
    <row r="67" ht="20.1" customHeight="1" spans="1:10">
      <c r="A67" s="11" t="s">
        <v>94</v>
      </c>
      <c r="B67" s="13">
        <v>4596.41</v>
      </c>
      <c r="C67" s="17" t="s">
        <v>61</v>
      </c>
      <c r="D67" s="17" t="s">
        <v>112</v>
      </c>
      <c r="E67" s="17" t="s">
        <v>47</v>
      </c>
      <c r="F67" s="9" t="s">
        <v>39</v>
      </c>
      <c r="G67" s="17" t="s">
        <v>110</v>
      </c>
      <c r="H67" s="17" t="s">
        <v>111</v>
      </c>
      <c r="I67" s="9">
        <v>9</v>
      </c>
      <c r="J67" s="17">
        <f t="shared" si="2"/>
        <v>0.46</v>
      </c>
    </row>
    <row r="68" ht="20.1" customHeight="1" spans="1:10">
      <c r="A68" s="11" t="s">
        <v>94</v>
      </c>
      <c r="B68" s="13">
        <v>1761047.19</v>
      </c>
      <c r="C68" s="17" t="s">
        <v>58</v>
      </c>
      <c r="D68" s="17" t="s">
        <v>112</v>
      </c>
      <c r="E68" s="17" t="s">
        <v>47</v>
      </c>
      <c r="F68" s="9" t="s">
        <v>39</v>
      </c>
      <c r="G68" s="17" t="s">
        <v>110</v>
      </c>
      <c r="H68" s="17" t="s">
        <v>111</v>
      </c>
      <c r="I68" s="9">
        <v>9</v>
      </c>
      <c r="J68" s="17">
        <f t="shared" si="2"/>
        <v>176.1</v>
      </c>
    </row>
    <row r="69" ht="20.1" customHeight="1" spans="1:10">
      <c r="A69" s="11" t="s">
        <v>94</v>
      </c>
      <c r="B69" s="13">
        <v>166879.07</v>
      </c>
      <c r="C69" s="17" t="s">
        <v>59</v>
      </c>
      <c r="D69" s="17" t="s">
        <v>112</v>
      </c>
      <c r="E69" s="17" t="s">
        <v>47</v>
      </c>
      <c r="F69" s="9" t="s">
        <v>39</v>
      </c>
      <c r="G69" s="17" t="s">
        <v>110</v>
      </c>
      <c r="H69" s="17" t="s">
        <v>111</v>
      </c>
      <c r="I69" s="9">
        <v>9</v>
      </c>
      <c r="J69" s="17">
        <f t="shared" si="2"/>
        <v>16.69</v>
      </c>
    </row>
    <row r="70" ht="20.1" customHeight="1" spans="1:10">
      <c r="A70" s="11" t="s">
        <v>94</v>
      </c>
      <c r="B70" s="13">
        <v>876593.8</v>
      </c>
      <c r="C70" s="17" t="s">
        <v>60</v>
      </c>
      <c r="D70" s="17" t="s">
        <v>24</v>
      </c>
      <c r="E70" s="17" t="s">
        <v>47</v>
      </c>
      <c r="F70" s="9" t="s">
        <v>39</v>
      </c>
      <c r="G70" s="17" t="s">
        <v>110</v>
      </c>
      <c r="H70" s="17" t="s">
        <v>111</v>
      </c>
      <c r="I70" s="9">
        <v>9</v>
      </c>
      <c r="J70" s="17">
        <f t="shared" si="2"/>
        <v>87.66</v>
      </c>
    </row>
    <row r="71" ht="20.1" customHeight="1" spans="1:10">
      <c r="A71" s="11">
        <v>45923</v>
      </c>
      <c r="B71" s="13">
        <v>77139.2</v>
      </c>
      <c r="C71" s="17" t="s">
        <v>62</v>
      </c>
      <c r="D71" s="17" t="s">
        <v>112</v>
      </c>
      <c r="E71" s="17" t="s">
        <v>63</v>
      </c>
      <c r="F71" s="9" t="s">
        <v>39</v>
      </c>
      <c r="G71" s="17" t="s">
        <v>110</v>
      </c>
      <c r="H71" s="17" t="s">
        <v>111</v>
      </c>
      <c r="I71" s="9">
        <v>9</v>
      </c>
      <c r="J71" s="17">
        <f t="shared" si="2"/>
        <v>7.71</v>
      </c>
    </row>
    <row r="72" ht="20.1" customHeight="1" spans="1:10">
      <c r="A72" s="11">
        <v>45928</v>
      </c>
      <c r="B72" s="13">
        <v>67366.55</v>
      </c>
      <c r="C72" s="17" t="s">
        <v>64</v>
      </c>
      <c r="D72" s="17" t="s">
        <v>112</v>
      </c>
      <c r="E72" s="17" t="s">
        <v>65</v>
      </c>
      <c r="F72" s="9" t="s">
        <v>39</v>
      </c>
      <c r="G72" s="17" t="s">
        <v>110</v>
      </c>
      <c r="H72" s="17" t="s">
        <v>111</v>
      </c>
      <c r="I72" s="9">
        <v>9</v>
      </c>
      <c r="J72" s="17">
        <f t="shared" si="2"/>
        <v>6.74</v>
      </c>
    </row>
    <row r="73" ht="20.1" customHeight="1" spans="1:10">
      <c r="A73" s="11">
        <v>45940</v>
      </c>
      <c r="B73" s="13">
        <v>4601.8</v>
      </c>
      <c r="C73" s="17" t="s">
        <v>96</v>
      </c>
      <c r="D73" s="17" t="s">
        <v>28</v>
      </c>
      <c r="E73" s="17" t="s">
        <v>97</v>
      </c>
      <c r="F73" s="9" t="s">
        <v>39</v>
      </c>
      <c r="G73" s="17" t="s">
        <v>109</v>
      </c>
      <c r="H73" s="17" t="s">
        <v>26</v>
      </c>
      <c r="I73" s="9">
        <v>10</v>
      </c>
      <c r="J73" s="17">
        <f t="shared" si="2"/>
        <v>0.46</v>
      </c>
    </row>
    <row r="74" ht="20.1" customHeight="1" spans="1:10">
      <c r="A74" s="11">
        <v>45943</v>
      </c>
      <c r="B74" s="13">
        <v>197.15</v>
      </c>
      <c r="C74" s="17" t="s">
        <v>98</v>
      </c>
      <c r="D74" s="17" t="s">
        <v>28</v>
      </c>
      <c r="E74" s="17" t="s">
        <v>70</v>
      </c>
      <c r="F74" s="9" t="s">
        <v>39</v>
      </c>
      <c r="G74" s="17" t="s">
        <v>109</v>
      </c>
      <c r="H74" s="17" t="s">
        <v>26</v>
      </c>
      <c r="I74" s="9">
        <v>10</v>
      </c>
      <c r="J74" s="17">
        <f t="shared" si="2"/>
        <v>0.02</v>
      </c>
    </row>
    <row r="75" ht="20.1" customHeight="1" spans="1:10">
      <c r="A75" s="11">
        <v>45944</v>
      </c>
      <c r="B75" s="13">
        <v>26920.05</v>
      </c>
      <c r="C75" s="17" t="s">
        <v>99</v>
      </c>
      <c r="D75" s="17" t="s">
        <v>28</v>
      </c>
      <c r="E75" s="17" t="s">
        <v>38</v>
      </c>
      <c r="F75" s="9" t="s">
        <v>39</v>
      </c>
      <c r="G75" s="17" t="s">
        <v>109</v>
      </c>
      <c r="H75" s="17" t="s">
        <v>26</v>
      </c>
      <c r="I75" s="9">
        <v>10</v>
      </c>
      <c r="J75" s="17">
        <f t="shared" si="2"/>
        <v>2.69</v>
      </c>
    </row>
    <row r="76" ht="20.1" customHeight="1" spans="1:10">
      <c r="A76" s="11">
        <v>45944</v>
      </c>
      <c r="B76" s="13">
        <v>12883.89</v>
      </c>
      <c r="C76" s="17" t="s">
        <v>100</v>
      </c>
      <c r="D76" s="17" t="s">
        <v>28</v>
      </c>
      <c r="E76" s="17" t="s">
        <v>101</v>
      </c>
      <c r="F76" s="9" t="s">
        <v>39</v>
      </c>
      <c r="G76" s="17" t="s">
        <v>109</v>
      </c>
      <c r="H76" s="17" t="s">
        <v>26</v>
      </c>
      <c r="I76" s="9">
        <v>10</v>
      </c>
      <c r="J76" s="17">
        <f t="shared" si="2"/>
        <v>1.29</v>
      </c>
    </row>
    <row r="77" ht="20.1" customHeight="1" spans="1:10">
      <c r="A77" s="11">
        <v>45946</v>
      </c>
      <c r="B77" s="13">
        <v>171123.2</v>
      </c>
      <c r="C77" s="17" t="s">
        <v>73</v>
      </c>
      <c r="D77" s="17" t="s">
        <v>24</v>
      </c>
      <c r="E77" s="17" t="s">
        <v>47</v>
      </c>
      <c r="F77" s="9" t="s">
        <v>39</v>
      </c>
      <c r="G77" s="17" t="s">
        <v>110</v>
      </c>
      <c r="H77" s="17" t="s">
        <v>111</v>
      </c>
      <c r="I77" s="9">
        <v>10</v>
      </c>
      <c r="J77" s="17">
        <f t="shared" si="2"/>
        <v>17.11</v>
      </c>
    </row>
    <row r="78" ht="20.1" customHeight="1" spans="1:10">
      <c r="A78" s="11">
        <v>45946</v>
      </c>
      <c r="B78" s="13">
        <v>23576.49</v>
      </c>
      <c r="C78" s="17" t="s">
        <v>51</v>
      </c>
      <c r="D78" s="17" t="s">
        <v>112</v>
      </c>
      <c r="E78" s="17" t="s">
        <v>47</v>
      </c>
      <c r="F78" s="9" t="s">
        <v>39</v>
      </c>
      <c r="G78" s="17" t="s">
        <v>110</v>
      </c>
      <c r="H78" s="17" t="s">
        <v>111</v>
      </c>
      <c r="I78" s="9">
        <v>10</v>
      </c>
      <c r="J78" s="17">
        <f t="shared" si="2"/>
        <v>2.36</v>
      </c>
    </row>
    <row r="79" ht="20.1" customHeight="1" spans="1:10">
      <c r="A79" s="11">
        <v>45946</v>
      </c>
      <c r="B79" s="13">
        <v>238001.13</v>
      </c>
      <c r="C79" s="17" t="s">
        <v>46</v>
      </c>
      <c r="D79" s="17" t="s">
        <v>24</v>
      </c>
      <c r="E79" s="17" t="s">
        <v>47</v>
      </c>
      <c r="F79" s="9" t="s">
        <v>39</v>
      </c>
      <c r="G79" s="17" t="s">
        <v>110</v>
      </c>
      <c r="H79" s="17" t="s">
        <v>111</v>
      </c>
      <c r="I79" s="9">
        <v>10</v>
      </c>
      <c r="J79" s="17">
        <f t="shared" si="2"/>
        <v>23.8</v>
      </c>
    </row>
    <row r="80" ht="20.1" customHeight="1" spans="1:10">
      <c r="A80" s="11">
        <v>45946</v>
      </c>
      <c r="B80" s="13">
        <v>35089.97</v>
      </c>
      <c r="C80" s="17" t="s">
        <v>48</v>
      </c>
      <c r="D80" s="17" t="s">
        <v>112</v>
      </c>
      <c r="E80" s="17" t="s">
        <v>47</v>
      </c>
      <c r="F80" s="9" t="s">
        <v>39</v>
      </c>
      <c r="G80" s="17" t="s">
        <v>110</v>
      </c>
      <c r="H80" s="17" t="s">
        <v>111</v>
      </c>
      <c r="I80" s="9">
        <v>10</v>
      </c>
      <c r="J80" s="17">
        <f t="shared" si="2"/>
        <v>3.51</v>
      </c>
    </row>
    <row r="81" ht="20.1" customHeight="1" spans="1:10">
      <c r="A81" s="11">
        <v>45947</v>
      </c>
      <c r="B81" s="13">
        <v>14044.41</v>
      </c>
      <c r="C81" s="17" t="s">
        <v>102</v>
      </c>
      <c r="D81" s="17" t="s">
        <v>28</v>
      </c>
      <c r="E81" s="17" t="s">
        <v>103</v>
      </c>
      <c r="F81" s="9" t="s">
        <v>39</v>
      </c>
      <c r="G81" s="17" t="s">
        <v>109</v>
      </c>
      <c r="H81" s="17" t="s">
        <v>26</v>
      </c>
      <c r="I81" s="9">
        <v>10</v>
      </c>
      <c r="J81" s="17">
        <f t="shared" si="2"/>
        <v>1.4</v>
      </c>
    </row>
    <row r="82" ht="20.1" customHeight="1" spans="1:10">
      <c r="A82" s="11">
        <v>45947</v>
      </c>
      <c r="B82" s="13">
        <v>23397.17</v>
      </c>
      <c r="C82" s="17" t="s">
        <v>44</v>
      </c>
      <c r="D82" s="17" t="s">
        <v>28</v>
      </c>
      <c r="E82" s="17" t="s">
        <v>45</v>
      </c>
      <c r="F82" s="9" t="s">
        <v>39</v>
      </c>
      <c r="G82" s="17" t="s">
        <v>109</v>
      </c>
      <c r="H82" s="17" t="s">
        <v>26</v>
      </c>
      <c r="I82" s="9">
        <v>10</v>
      </c>
      <c r="J82" s="17">
        <f t="shared" si="2"/>
        <v>2.34</v>
      </c>
    </row>
    <row r="83" ht="20.1" customHeight="1" spans="1:10">
      <c r="A83" s="11">
        <v>45947</v>
      </c>
      <c r="B83" s="13">
        <v>15437.78</v>
      </c>
      <c r="C83" s="17" t="s">
        <v>104</v>
      </c>
      <c r="D83" s="17" t="s">
        <v>28</v>
      </c>
      <c r="E83" s="17" t="s">
        <v>105</v>
      </c>
      <c r="F83" s="9" t="s">
        <v>39</v>
      </c>
      <c r="G83" s="17" t="s">
        <v>109</v>
      </c>
      <c r="H83" s="17" t="s">
        <v>26</v>
      </c>
      <c r="I83" s="9">
        <v>10</v>
      </c>
      <c r="J83" s="17">
        <f t="shared" si="2"/>
        <v>1.54</v>
      </c>
    </row>
    <row r="84" ht="20.1" customHeight="1" spans="1:10">
      <c r="A84" s="11">
        <v>45950</v>
      </c>
      <c r="B84" s="13">
        <v>14410.43</v>
      </c>
      <c r="C84" s="17" t="s">
        <v>106</v>
      </c>
      <c r="D84" s="17" t="s">
        <v>28</v>
      </c>
      <c r="E84" s="17" t="s">
        <v>107</v>
      </c>
      <c r="F84" s="9" t="s">
        <v>39</v>
      </c>
      <c r="G84" s="17" t="s">
        <v>109</v>
      </c>
      <c r="H84" s="17" t="s">
        <v>26</v>
      </c>
      <c r="I84" s="9">
        <v>10</v>
      </c>
      <c r="J84" s="17">
        <f t="shared" si="2"/>
        <v>1.44</v>
      </c>
    </row>
    <row r="85" ht="20.1" customHeight="1" spans="1:10">
      <c r="A85" s="11">
        <v>45950</v>
      </c>
      <c r="B85" s="13">
        <v>44166.82</v>
      </c>
      <c r="C85" s="17" t="s">
        <v>42</v>
      </c>
      <c r="D85" s="17" t="s">
        <v>28</v>
      </c>
      <c r="E85" s="17" t="s">
        <v>43</v>
      </c>
      <c r="F85" s="9" t="s">
        <v>39</v>
      </c>
      <c r="G85" s="17" t="s">
        <v>109</v>
      </c>
      <c r="H85" s="17" t="s">
        <v>26</v>
      </c>
      <c r="I85" s="9">
        <v>10</v>
      </c>
      <c r="J85" s="17">
        <f t="shared" si="2"/>
        <v>4.42</v>
      </c>
    </row>
    <row r="86" ht="20.1" customHeight="1" spans="1:10">
      <c r="A86" s="11">
        <v>45950</v>
      </c>
      <c r="B86" s="13">
        <v>38021.75</v>
      </c>
      <c r="C86" s="17" t="s">
        <v>66</v>
      </c>
      <c r="D86" s="17" t="s">
        <v>28</v>
      </c>
      <c r="E86" s="17" t="s">
        <v>67</v>
      </c>
      <c r="F86" s="9" t="s">
        <v>39</v>
      </c>
      <c r="G86" s="17" t="s">
        <v>109</v>
      </c>
      <c r="H86" s="17" t="s">
        <v>26</v>
      </c>
      <c r="I86" s="9">
        <v>10</v>
      </c>
      <c r="J86" s="17">
        <f t="shared" si="2"/>
        <v>3.8</v>
      </c>
    </row>
  </sheetData>
  <autoFilter xmlns:etc="http://www.wps.cn/officeDocument/2017/etCustomData" ref="C1:C86" etc:filterBottomFollowUsedRange="0">
    <extLst/>
  </autoFilter>
  <conditionalFormatting sqref="G6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max"/>
        <color rgb="FFFF7128"/>
        <color rgb="FFFFEF9C"/>
      </colorScale>
    </cfRule>
  </conditionalFormatting>
  <conditionalFormatting sqref="G6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max"/>
        <color rgb="FFFF7128"/>
        <color rgb="FFFFEF9C"/>
      </colorScale>
    </cfRule>
  </conditionalFormatting>
  <conditionalFormatting sqref="G6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max"/>
        <color rgb="FFFF7128"/>
        <color rgb="FFFFEF9C"/>
      </colorScale>
    </cfRule>
  </conditionalFormatting>
  <conditionalFormatting sqref="G2:G66">
    <cfRule type="colorScale" priority="82">
      <colorScale>
        <cfvo type="min"/>
        <cfvo type="max"/>
        <color rgb="FFFF7128"/>
        <color rgb="FFFFEF9C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0:G7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max"/>
        <color rgb="FFFF7128"/>
        <color rgb="FFFFEF9C"/>
      </colorScale>
    </cfRule>
  </conditionalFormatting>
  <conditionalFormatting sqref="G73:G76">
    <cfRule type="colorScale" priority="72">
      <colorScale>
        <cfvo type="min"/>
        <cfvo type="max"/>
        <color rgb="FFFF7128"/>
        <color rgb="FFFFEF9C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7:G80">
    <cfRule type="colorScale" priority="68">
      <colorScale>
        <cfvo type="min"/>
        <cfvo type="max"/>
        <color rgb="FFFF7128"/>
        <color rgb="FFFFEF9C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1:G86">
    <cfRule type="colorScale" priority="70">
      <colorScale>
        <cfvo type="min"/>
        <cfvo type="max"/>
        <color rgb="FFFF7128"/>
        <color rgb="FFFFEF9C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G2:G86">
      <formula1>"自主管理,投顾管理"</formula1>
    </dataValidation>
    <dataValidation type="list" allowBlank="1" showInputMessage="1" showErrorMessage="1" sqref="H2:H86">
      <formula1>"自主募集,客户专户,投顾募集"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3"/>
  <sheetViews>
    <sheetView workbookViewId="0">
      <selection activeCell="A1" sqref="A1"/>
    </sheetView>
  </sheetViews>
  <sheetFormatPr defaultColWidth="9" defaultRowHeight="14.25" customHeight="1" outlineLevelCol="5"/>
  <cols>
    <col min="1" max="1" width="15.6666666666667" style="1" customWidth="1"/>
    <col min="2" max="3" width="20.6666666666667" style="1" customWidth="1"/>
    <col min="4" max="4" width="30.6666666666667" style="1" customWidth="1"/>
    <col min="5" max="5" width="20.6666666666667" style="1" customWidth="1"/>
    <col min="6" max="6" width="20.6666666666667" style="15" customWidth="1"/>
  </cols>
  <sheetData>
    <row r="1" ht="20.1" customHeight="1" spans="1:6">
      <c r="A1" s="4" t="s">
        <v>30</v>
      </c>
      <c r="B1" s="5" t="s">
        <v>31</v>
      </c>
      <c r="C1" s="6" t="s">
        <v>32</v>
      </c>
      <c r="D1" s="6" t="s">
        <v>33</v>
      </c>
      <c r="E1" s="6" t="s">
        <v>113</v>
      </c>
      <c r="F1" s="6" t="s">
        <v>114</v>
      </c>
    </row>
    <row r="2" ht="20.1" customHeight="1" spans="1:6">
      <c r="A2" s="16">
        <v>45672</v>
      </c>
      <c r="B2" s="13">
        <v>2318</v>
      </c>
      <c r="C2" s="17" t="s">
        <v>76</v>
      </c>
      <c r="D2" s="18" t="s">
        <v>77</v>
      </c>
      <c r="E2" s="9" t="s">
        <v>39</v>
      </c>
      <c r="F2" s="9"/>
    </row>
    <row r="3" ht="20.1" customHeight="1" spans="1:6">
      <c r="A3" s="11">
        <v>45720</v>
      </c>
      <c r="B3" s="13">
        <v>27341</v>
      </c>
      <c r="C3" s="17" t="s">
        <v>76</v>
      </c>
      <c r="D3" s="19" t="s">
        <v>77</v>
      </c>
      <c r="E3" s="9" t="s">
        <v>39</v>
      </c>
      <c r="F3" s="9"/>
    </row>
    <row r="4" ht="20.1" customHeight="1" spans="1:6">
      <c r="A4" s="11">
        <v>45758</v>
      </c>
      <c r="B4" s="13">
        <v>1919.58</v>
      </c>
      <c r="C4" s="17" t="s">
        <v>76</v>
      </c>
      <c r="D4" s="19" t="s">
        <v>77</v>
      </c>
      <c r="E4" s="9" t="s">
        <v>39</v>
      </c>
      <c r="F4" s="9"/>
    </row>
    <row r="5" ht="20.1" customHeight="1" spans="1:6">
      <c r="A5" s="11">
        <v>45763</v>
      </c>
      <c r="B5" s="13">
        <v>8552.55</v>
      </c>
      <c r="C5" s="17" t="s">
        <v>78</v>
      </c>
      <c r="D5" s="19" t="s">
        <v>79</v>
      </c>
      <c r="E5" s="9" t="s">
        <v>39</v>
      </c>
      <c r="F5" s="9"/>
    </row>
    <row r="6" ht="20.1" customHeight="1" spans="1:6">
      <c r="A6" s="11">
        <v>45793</v>
      </c>
      <c r="B6" s="8">
        <v>1680</v>
      </c>
      <c r="C6" s="17" t="s">
        <v>80</v>
      </c>
      <c r="D6" s="19"/>
      <c r="E6" s="9" t="s">
        <v>82</v>
      </c>
      <c r="F6" s="9" t="s">
        <v>115</v>
      </c>
    </row>
    <row r="7" ht="20.1" customHeight="1" spans="1:6">
      <c r="A7" s="11">
        <v>45813</v>
      </c>
      <c r="B7" s="8">
        <v>680</v>
      </c>
      <c r="C7" s="17" t="s">
        <v>80</v>
      </c>
      <c r="D7" s="19"/>
      <c r="E7" s="9" t="s">
        <v>82</v>
      </c>
      <c r="F7" s="9" t="s">
        <v>115</v>
      </c>
    </row>
    <row r="8" ht="20.1" customHeight="1" spans="1:6">
      <c r="A8" s="11">
        <v>45813</v>
      </c>
      <c r="B8" s="13">
        <v>210000</v>
      </c>
      <c r="C8" s="17" t="s">
        <v>8</v>
      </c>
      <c r="D8" s="19" t="s">
        <v>84</v>
      </c>
      <c r="E8" s="9" t="s">
        <v>39</v>
      </c>
      <c r="F8" s="9"/>
    </row>
    <row r="9" ht="20.1" customHeight="1" spans="1:6">
      <c r="A9" s="11">
        <v>45840</v>
      </c>
      <c r="B9" s="13">
        <v>150000</v>
      </c>
      <c r="C9" s="17" t="s">
        <v>85</v>
      </c>
      <c r="D9" s="19" t="s">
        <v>86</v>
      </c>
      <c r="E9" s="9" t="s">
        <v>39</v>
      </c>
      <c r="F9" s="9"/>
    </row>
    <row r="10" ht="20.1" customHeight="1" spans="1:6">
      <c r="A10" s="11">
        <v>45852</v>
      </c>
      <c r="B10" s="13">
        <v>5265</v>
      </c>
      <c r="C10" s="17" t="s">
        <v>78</v>
      </c>
      <c r="D10" s="19" t="s">
        <v>79</v>
      </c>
      <c r="E10" s="9" t="s">
        <v>39</v>
      </c>
      <c r="F10" s="9"/>
    </row>
    <row r="11" ht="20.1" customHeight="1" spans="1:6">
      <c r="A11" s="11">
        <v>45852</v>
      </c>
      <c r="B11" s="13">
        <v>9140.82</v>
      </c>
      <c r="C11" s="17" t="s">
        <v>78</v>
      </c>
      <c r="D11" s="19" t="s">
        <v>79</v>
      </c>
      <c r="E11" s="9" t="s">
        <v>39</v>
      </c>
      <c r="F11" s="9"/>
    </row>
    <row r="12" ht="20.1" customHeight="1" spans="1:6">
      <c r="A12" s="11">
        <v>45852</v>
      </c>
      <c r="B12" s="8">
        <v>680</v>
      </c>
      <c r="C12" s="17" t="s">
        <v>80</v>
      </c>
      <c r="D12" s="19"/>
      <c r="E12" s="9" t="s">
        <v>82</v>
      </c>
      <c r="F12" s="9" t="s">
        <v>115</v>
      </c>
    </row>
    <row r="13" ht="20.1" customHeight="1" spans="1:6">
      <c r="A13" s="11">
        <v>45896</v>
      </c>
      <c r="B13" s="8">
        <v>680</v>
      </c>
      <c r="C13" s="17" t="s">
        <v>80</v>
      </c>
      <c r="D13" s="17"/>
      <c r="E13" s="9" t="s">
        <v>82</v>
      </c>
      <c r="F13" s="9" t="s">
        <v>115</v>
      </c>
    </row>
    <row r="14" ht="20.1" customHeight="1" spans="1:6">
      <c r="A14" s="11">
        <v>45878</v>
      </c>
      <c r="B14" s="13">
        <v>29.9</v>
      </c>
      <c r="C14" s="17" t="s">
        <v>92</v>
      </c>
      <c r="D14" s="17"/>
      <c r="E14" s="9" t="s">
        <v>82</v>
      </c>
      <c r="F14" s="9" t="s">
        <v>116</v>
      </c>
    </row>
    <row r="15" ht="20.1" customHeight="1" spans="1:6">
      <c r="A15" s="11">
        <v>45890</v>
      </c>
      <c r="B15" s="13">
        <v>59.8</v>
      </c>
      <c r="C15" s="17" t="s">
        <v>92</v>
      </c>
      <c r="D15" s="17"/>
      <c r="E15" s="9" t="s">
        <v>82</v>
      </c>
      <c r="F15" s="9" t="s">
        <v>116</v>
      </c>
    </row>
    <row r="16" ht="20.1" customHeight="1" spans="1:6">
      <c r="A16" s="11">
        <v>45896</v>
      </c>
      <c r="B16" s="13">
        <v>59.8</v>
      </c>
      <c r="C16" s="17" t="s">
        <v>92</v>
      </c>
      <c r="D16" s="17"/>
      <c r="E16" s="9" t="s">
        <v>82</v>
      </c>
      <c r="F16" s="9" t="s">
        <v>116</v>
      </c>
    </row>
    <row r="17" ht="20.1" customHeight="1" spans="1:6">
      <c r="A17" s="11">
        <v>45908</v>
      </c>
      <c r="B17" s="13">
        <v>299</v>
      </c>
      <c r="C17" s="17" t="s">
        <v>92</v>
      </c>
      <c r="D17" s="17"/>
      <c r="E17" s="9" t="s">
        <v>82</v>
      </c>
      <c r="F17" s="9" t="s">
        <v>116</v>
      </c>
    </row>
    <row r="18" ht="20.1" customHeight="1" spans="1:6">
      <c r="A18" s="11">
        <v>45908</v>
      </c>
      <c r="B18" s="13">
        <v>59.8</v>
      </c>
      <c r="C18" s="17" t="s">
        <v>92</v>
      </c>
      <c r="D18" s="17"/>
      <c r="E18" s="9" t="s">
        <v>82</v>
      </c>
      <c r="F18" s="9" t="s">
        <v>116</v>
      </c>
    </row>
    <row r="19" ht="20.1" customHeight="1" spans="1:6">
      <c r="A19" s="11">
        <v>45908</v>
      </c>
      <c r="B19" s="13">
        <v>59.8</v>
      </c>
      <c r="C19" s="17" t="s">
        <v>92</v>
      </c>
      <c r="D19" s="17"/>
      <c r="E19" s="9" t="s">
        <v>82</v>
      </c>
      <c r="F19" s="9" t="s">
        <v>116</v>
      </c>
    </row>
    <row r="20" ht="20.1" customHeight="1" spans="1:6">
      <c r="A20" s="11">
        <v>45909</v>
      </c>
      <c r="B20" s="13">
        <v>1088</v>
      </c>
      <c r="C20" s="17" t="s">
        <v>80</v>
      </c>
      <c r="D20" s="17"/>
      <c r="E20" s="9" t="s">
        <v>82</v>
      </c>
      <c r="F20" s="9" t="s">
        <v>115</v>
      </c>
    </row>
    <row r="21" ht="20.1" customHeight="1" spans="1:6">
      <c r="A21" s="11">
        <v>45911</v>
      </c>
      <c r="B21" s="13">
        <v>299</v>
      </c>
      <c r="C21" s="17" t="s">
        <v>92</v>
      </c>
      <c r="D21" s="17"/>
      <c r="E21" s="9" t="s">
        <v>82</v>
      </c>
      <c r="F21" s="9" t="s">
        <v>116</v>
      </c>
    </row>
    <row r="22" ht="20.1" customHeight="1" spans="1:6">
      <c r="A22" s="11">
        <v>45911</v>
      </c>
      <c r="B22" s="13">
        <v>299</v>
      </c>
      <c r="C22" s="17" t="s">
        <v>92</v>
      </c>
      <c r="D22" s="17"/>
      <c r="E22" s="9" t="s">
        <v>82</v>
      </c>
      <c r="F22" s="9" t="s">
        <v>116</v>
      </c>
    </row>
    <row r="23" ht="20.1" customHeight="1" spans="1:6">
      <c r="A23" s="11">
        <v>45911</v>
      </c>
      <c r="B23" s="13">
        <v>299</v>
      </c>
      <c r="C23" s="17" t="s">
        <v>92</v>
      </c>
      <c r="D23" s="17"/>
      <c r="E23" s="9" t="s">
        <v>82</v>
      </c>
      <c r="F23" s="9" t="s">
        <v>116</v>
      </c>
    </row>
    <row r="24" ht="20.1" customHeight="1" spans="1:6">
      <c r="A24" s="11">
        <v>45916</v>
      </c>
      <c r="B24" s="13">
        <v>59.8</v>
      </c>
      <c r="C24" s="17" t="s">
        <v>92</v>
      </c>
      <c r="D24" s="17"/>
      <c r="E24" s="9" t="s">
        <v>82</v>
      </c>
      <c r="F24" s="9" t="s">
        <v>116</v>
      </c>
    </row>
    <row r="25" ht="20.1" customHeight="1" spans="1:6">
      <c r="A25" s="11">
        <v>45920</v>
      </c>
      <c r="B25" s="13">
        <v>299</v>
      </c>
      <c r="C25" s="17" t="s">
        <v>92</v>
      </c>
      <c r="D25" s="17"/>
      <c r="E25" s="9" t="s">
        <v>82</v>
      </c>
      <c r="F25" s="9" t="s">
        <v>116</v>
      </c>
    </row>
    <row r="26" ht="20.1" customHeight="1" spans="1:6">
      <c r="A26" s="11">
        <v>45922</v>
      </c>
      <c r="B26" s="13">
        <v>1680</v>
      </c>
      <c r="C26" s="17" t="s">
        <v>80</v>
      </c>
      <c r="D26" s="17"/>
      <c r="E26" s="9" t="s">
        <v>82</v>
      </c>
      <c r="F26" s="9" t="s">
        <v>115</v>
      </c>
    </row>
    <row r="27" ht="20.1" customHeight="1" spans="1:6">
      <c r="A27" s="11">
        <v>45926</v>
      </c>
      <c r="B27" s="13">
        <v>128</v>
      </c>
      <c r="C27" s="17" t="s">
        <v>92</v>
      </c>
      <c r="D27" s="17"/>
      <c r="E27" s="9" t="s">
        <v>82</v>
      </c>
      <c r="F27" s="9" t="s">
        <v>116</v>
      </c>
    </row>
    <row r="28" ht="20.1" customHeight="1" spans="1:6">
      <c r="A28" s="11">
        <v>45926</v>
      </c>
      <c r="B28" s="13">
        <v>59.8</v>
      </c>
      <c r="C28" s="17" t="s">
        <v>92</v>
      </c>
      <c r="D28" s="17"/>
      <c r="E28" s="9" t="s">
        <v>82</v>
      </c>
      <c r="F28" s="9" t="s">
        <v>116</v>
      </c>
    </row>
    <row r="29" ht="20.1" customHeight="1" spans="1:6">
      <c r="A29" s="11">
        <v>45926</v>
      </c>
      <c r="B29" s="13">
        <v>450000</v>
      </c>
      <c r="C29" s="17" t="s">
        <v>95</v>
      </c>
      <c r="D29" s="17" t="s">
        <v>65</v>
      </c>
      <c r="E29" s="9" t="s">
        <v>39</v>
      </c>
      <c r="F29" s="9"/>
    </row>
    <row r="30" ht="20.1" customHeight="1" spans="1:6">
      <c r="A30" s="11">
        <v>45928</v>
      </c>
      <c r="B30" s="13">
        <v>299</v>
      </c>
      <c r="C30" s="17" t="s">
        <v>92</v>
      </c>
      <c r="D30" s="17"/>
      <c r="E30" s="9" t="s">
        <v>82</v>
      </c>
      <c r="F30" s="9" t="s">
        <v>116</v>
      </c>
    </row>
    <row r="31" ht="20.1" customHeight="1" spans="1:6">
      <c r="A31" s="11">
        <v>45929</v>
      </c>
      <c r="B31" s="13">
        <v>1088</v>
      </c>
      <c r="C31" s="17" t="s">
        <v>80</v>
      </c>
      <c r="D31" s="17"/>
      <c r="E31" s="9" t="s">
        <v>82</v>
      </c>
      <c r="F31" s="9" t="s">
        <v>115</v>
      </c>
    </row>
    <row r="32" ht="20.1" customHeight="1" spans="1:6">
      <c r="A32" s="11">
        <v>45931</v>
      </c>
      <c r="B32" s="13">
        <v>128</v>
      </c>
      <c r="C32" s="17" t="s">
        <v>92</v>
      </c>
      <c r="D32" s="17"/>
      <c r="E32" s="9" t="s">
        <v>82</v>
      </c>
      <c r="F32" s="9" t="s">
        <v>116</v>
      </c>
    </row>
    <row r="33" ht="20.1" customHeight="1" spans="1:6">
      <c r="A33" s="11">
        <v>45934</v>
      </c>
      <c r="B33" s="13">
        <v>59.8</v>
      </c>
      <c r="C33" s="17" t="s">
        <v>92</v>
      </c>
      <c r="D33" s="17"/>
      <c r="E33" s="9" t="s">
        <v>82</v>
      </c>
      <c r="F33" s="9" t="s">
        <v>116</v>
      </c>
    </row>
    <row r="34" ht="20.1" customHeight="1" spans="1:6">
      <c r="A34" s="11">
        <v>45938</v>
      </c>
      <c r="B34" s="13">
        <v>299</v>
      </c>
      <c r="C34" s="17" t="s">
        <v>92</v>
      </c>
      <c r="D34" s="17"/>
      <c r="E34" s="9" t="s">
        <v>82</v>
      </c>
      <c r="F34" s="9" t="s">
        <v>116</v>
      </c>
    </row>
    <row r="35" ht="20.1" customHeight="1" spans="1:6">
      <c r="A35" s="11">
        <v>45940</v>
      </c>
      <c r="B35" s="13">
        <v>299</v>
      </c>
      <c r="C35" s="17" t="s">
        <v>92</v>
      </c>
      <c r="D35" s="17"/>
      <c r="E35" s="9" t="s">
        <v>82</v>
      </c>
      <c r="F35" s="9" t="s">
        <v>116</v>
      </c>
    </row>
    <row r="36" ht="20.1" customHeight="1" spans="1:6">
      <c r="A36" s="11">
        <v>45944</v>
      </c>
      <c r="B36" s="13">
        <v>299</v>
      </c>
      <c r="C36" s="17" t="s">
        <v>92</v>
      </c>
      <c r="D36" s="17"/>
      <c r="E36" s="9" t="s">
        <v>82</v>
      </c>
      <c r="F36" s="9" t="s">
        <v>116</v>
      </c>
    </row>
    <row r="37" ht="20.1" customHeight="1" spans="1:6">
      <c r="A37" s="11">
        <v>45946</v>
      </c>
      <c r="B37" s="13">
        <v>59.8</v>
      </c>
      <c r="C37" s="17" t="s">
        <v>92</v>
      </c>
      <c r="D37" s="17"/>
      <c r="E37" s="9" t="s">
        <v>82</v>
      </c>
      <c r="F37" s="9" t="s">
        <v>116</v>
      </c>
    </row>
    <row r="38" ht="20.1" customHeight="1" spans="1:6">
      <c r="A38" s="11">
        <v>45949</v>
      </c>
      <c r="B38" s="13">
        <v>128</v>
      </c>
      <c r="C38" s="17" t="s">
        <v>92</v>
      </c>
      <c r="D38" s="17"/>
      <c r="E38" s="9" t="s">
        <v>82</v>
      </c>
      <c r="F38" s="9" t="s">
        <v>116</v>
      </c>
    </row>
    <row r="39" ht="20.1" customHeight="1" spans="1:6">
      <c r="A39" s="11">
        <v>45953</v>
      </c>
      <c r="B39" s="13">
        <v>1088</v>
      </c>
      <c r="C39" s="17" t="s">
        <v>80</v>
      </c>
      <c r="D39" s="17"/>
      <c r="E39" s="9" t="s">
        <v>82</v>
      </c>
      <c r="F39" s="9" t="s">
        <v>115</v>
      </c>
    </row>
    <row r="40" ht="20.1" customHeight="1" spans="1:6">
      <c r="A40" s="11">
        <v>45957</v>
      </c>
      <c r="B40" s="13">
        <v>1088</v>
      </c>
      <c r="C40" s="17" t="s">
        <v>80</v>
      </c>
      <c r="D40" s="17"/>
      <c r="E40" s="9" t="s">
        <v>82</v>
      </c>
      <c r="F40" s="9" t="s">
        <v>115</v>
      </c>
    </row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9"/>
  <sheetViews>
    <sheetView workbookViewId="0">
      <selection activeCell="A1" sqref="A1:A2"/>
    </sheetView>
  </sheetViews>
  <sheetFormatPr defaultColWidth="9" defaultRowHeight="14.25" customHeight="1" outlineLevelCol="4"/>
  <cols>
    <col min="1" max="1" width="15.6666666666667" style="2" customWidth="1"/>
    <col min="2" max="2" width="20.6666666666667" style="2" customWidth="1"/>
    <col min="3" max="3" width="20.6666666666667" style="3" customWidth="1"/>
    <col min="4" max="5" width="20.6666666666667" style="2" customWidth="1"/>
  </cols>
  <sheetData>
    <row r="1" ht="20.1" customHeight="1" spans="1:5">
      <c r="A1" s="4" t="s">
        <v>30</v>
      </c>
      <c r="B1" s="5" t="s">
        <v>31</v>
      </c>
      <c r="C1" s="6" t="s">
        <v>32</v>
      </c>
      <c r="D1" s="6" t="s">
        <v>34</v>
      </c>
      <c r="E1" s="6"/>
    </row>
    <row r="2" ht="20.1" customHeight="1" spans="1:5">
      <c r="A2" s="4"/>
      <c r="B2" s="5"/>
      <c r="C2" s="6"/>
      <c r="D2" s="6" t="s">
        <v>113</v>
      </c>
      <c r="E2" s="6" t="s">
        <v>114</v>
      </c>
    </row>
    <row r="3" ht="20.1" customHeight="1" spans="1:5">
      <c r="A3" s="7">
        <v>45665</v>
      </c>
      <c r="B3" s="8">
        <v>6</v>
      </c>
      <c r="C3" s="7" t="s">
        <v>88</v>
      </c>
      <c r="D3" s="9" t="s">
        <v>82</v>
      </c>
      <c r="E3" s="8" t="s">
        <v>87</v>
      </c>
    </row>
    <row r="4" ht="20.1" customHeight="1" spans="1:5">
      <c r="A4" s="7">
        <v>45699</v>
      </c>
      <c r="B4" s="8">
        <v>1088</v>
      </c>
      <c r="C4" s="7" t="s">
        <v>18</v>
      </c>
      <c r="D4" s="9" t="s">
        <v>82</v>
      </c>
      <c r="E4" s="7" t="s">
        <v>18</v>
      </c>
    </row>
    <row r="5" ht="20.1" customHeight="1" spans="1:5">
      <c r="A5" s="7">
        <v>45722</v>
      </c>
      <c r="B5" s="8">
        <v>6</v>
      </c>
      <c r="C5" s="7" t="s">
        <v>88</v>
      </c>
      <c r="D5" s="9" t="s">
        <v>82</v>
      </c>
      <c r="E5" s="8" t="s">
        <v>87</v>
      </c>
    </row>
    <row r="6" ht="20.1" customHeight="1" spans="1:5">
      <c r="A6" s="7">
        <v>45737</v>
      </c>
      <c r="B6" s="10">
        <v>-326.4</v>
      </c>
      <c r="C6" s="7" t="s">
        <v>18</v>
      </c>
      <c r="D6" s="9" t="s">
        <v>82</v>
      </c>
      <c r="E6" s="7" t="s">
        <v>18</v>
      </c>
    </row>
    <row r="7" ht="20.1" customHeight="1" spans="1:5">
      <c r="A7" s="7">
        <v>45746</v>
      </c>
      <c r="B7" s="8">
        <v>6</v>
      </c>
      <c r="C7" s="9" t="s">
        <v>89</v>
      </c>
      <c r="D7" s="9" t="s">
        <v>82</v>
      </c>
      <c r="E7" s="8" t="s">
        <v>87</v>
      </c>
    </row>
    <row r="8" s="1" customFormat="1" ht="20.1" customHeight="1" spans="1:5">
      <c r="A8" s="11">
        <v>45812</v>
      </c>
      <c r="B8" s="8">
        <f>365*29</f>
        <v>10585</v>
      </c>
      <c r="C8" s="9" t="s">
        <v>11</v>
      </c>
      <c r="D8" s="9" t="s">
        <v>82</v>
      </c>
      <c r="E8" s="8" t="s">
        <v>117</v>
      </c>
    </row>
    <row r="9" s="1" customFormat="1" ht="20.1" customHeight="1" spans="1:5">
      <c r="A9" s="11">
        <v>45813</v>
      </c>
      <c r="B9" s="12">
        <f>-365*1</f>
        <v>-365</v>
      </c>
      <c r="C9" s="9" t="s">
        <v>11</v>
      </c>
      <c r="D9" s="9" t="s">
        <v>82</v>
      </c>
      <c r="E9" s="8" t="s">
        <v>117</v>
      </c>
    </row>
    <row r="10" s="1" customFormat="1" ht="20.1" customHeight="1" spans="1:5">
      <c r="A10" s="11">
        <v>45813</v>
      </c>
      <c r="B10" s="8">
        <f>365*8</f>
        <v>2920</v>
      </c>
      <c r="C10" s="9" t="s">
        <v>11</v>
      </c>
      <c r="D10" s="9" t="s">
        <v>82</v>
      </c>
      <c r="E10" s="8" t="s">
        <v>117</v>
      </c>
    </row>
    <row r="11" s="1" customFormat="1" ht="20.1" customHeight="1" spans="1:5">
      <c r="A11" s="11">
        <v>45814</v>
      </c>
      <c r="B11" s="8">
        <f>365*12</f>
        <v>4380</v>
      </c>
      <c r="C11" s="9" t="s">
        <v>11</v>
      </c>
      <c r="D11" s="9" t="s">
        <v>82</v>
      </c>
      <c r="E11" s="8" t="s">
        <v>117</v>
      </c>
    </row>
    <row r="12" s="1" customFormat="1" ht="20.1" customHeight="1" spans="1:5">
      <c r="A12" s="11">
        <v>45814</v>
      </c>
      <c r="B12" s="12">
        <f>-365*1</f>
        <v>-365</v>
      </c>
      <c r="C12" s="9" t="s">
        <v>11</v>
      </c>
      <c r="D12" s="9" t="s">
        <v>82</v>
      </c>
      <c r="E12" s="8" t="s">
        <v>117</v>
      </c>
    </row>
    <row r="13" s="1" customFormat="1" ht="20.1" customHeight="1" spans="1:5">
      <c r="A13" s="11">
        <v>45815</v>
      </c>
      <c r="B13" s="8">
        <f>365*2</f>
        <v>730</v>
      </c>
      <c r="C13" s="9" t="s">
        <v>11</v>
      </c>
      <c r="D13" s="9" t="s">
        <v>82</v>
      </c>
      <c r="E13" s="8" t="s">
        <v>117</v>
      </c>
    </row>
    <row r="14" s="1" customFormat="1" ht="20.1" customHeight="1" spans="1:5">
      <c r="A14" s="11">
        <v>45816</v>
      </c>
      <c r="B14" s="8">
        <f>365*1</f>
        <v>365</v>
      </c>
      <c r="C14" s="9" t="s">
        <v>11</v>
      </c>
      <c r="D14" s="9" t="s">
        <v>82</v>
      </c>
      <c r="E14" s="8" t="s">
        <v>117</v>
      </c>
    </row>
    <row r="15" s="1" customFormat="1" ht="20.1" customHeight="1" spans="1:5">
      <c r="A15" s="11">
        <v>45817</v>
      </c>
      <c r="B15" s="8">
        <f>365*2</f>
        <v>730</v>
      </c>
      <c r="C15" s="9" t="s">
        <v>11</v>
      </c>
      <c r="D15" s="9" t="s">
        <v>82</v>
      </c>
      <c r="E15" s="8" t="s">
        <v>117</v>
      </c>
    </row>
    <row r="16" s="1" customFormat="1" ht="20.1" customHeight="1" spans="1:5">
      <c r="A16" s="11">
        <v>45818</v>
      </c>
      <c r="B16" s="8">
        <f>365*1</f>
        <v>365</v>
      </c>
      <c r="C16" s="9" t="s">
        <v>11</v>
      </c>
      <c r="D16" s="9" t="s">
        <v>82</v>
      </c>
      <c r="E16" s="8" t="s">
        <v>117</v>
      </c>
    </row>
    <row r="17" s="1" customFormat="1" ht="20.1" customHeight="1" spans="1:5">
      <c r="A17" s="11">
        <v>45819</v>
      </c>
      <c r="B17" s="12">
        <f>-365*1</f>
        <v>-365</v>
      </c>
      <c r="C17" s="9" t="s">
        <v>11</v>
      </c>
      <c r="D17" s="9" t="s">
        <v>82</v>
      </c>
      <c r="E17" s="8" t="s">
        <v>117</v>
      </c>
    </row>
    <row r="18" s="1" customFormat="1" ht="20.1" customHeight="1" spans="1:5">
      <c r="A18" s="11">
        <v>45819</v>
      </c>
      <c r="B18" s="8">
        <f>365*9</f>
        <v>3285</v>
      </c>
      <c r="C18" s="9" t="s">
        <v>11</v>
      </c>
      <c r="D18" s="9" t="s">
        <v>82</v>
      </c>
      <c r="E18" s="8" t="s">
        <v>117</v>
      </c>
    </row>
    <row r="19" s="1" customFormat="1" ht="20.1" customHeight="1" spans="1:5">
      <c r="A19" s="11">
        <v>45821</v>
      </c>
      <c r="B19" s="8">
        <f>365*2</f>
        <v>730</v>
      </c>
      <c r="C19" s="9" t="s">
        <v>11</v>
      </c>
      <c r="D19" s="9" t="s">
        <v>82</v>
      </c>
      <c r="E19" s="8" t="s">
        <v>117</v>
      </c>
    </row>
    <row r="20" s="1" customFormat="1" ht="20.1" customHeight="1" spans="1:5">
      <c r="A20" s="11">
        <v>45824</v>
      </c>
      <c r="B20" s="8">
        <f>365*1</f>
        <v>365</v>
      </c>
      <c r="C20" s="9" t="s">
        <v>11</v>
      </c>
      <c r="D20" s="9" t="s">
        <v>82</v>
      </c>
      <c r="E20" s="8" t="s">
        <v>117</v>
      </c>
    </row>
    <row r="21" s="1" customFormat="1" ht="20.1" customHeight="1" spans="1:5">
      <c r="A21" s="11">
        <v>45826</v>
      </c>
      <c r="B21" s="8">
        <f>365*2</f>
        <v>730</v>
      </c>
      <c r="C21" s="9" t="s">
        <v>11</v>
      </c>
      <c r="D21" s="9" t="s">
        <v>82</v>
      </c>
      <c r="E21" s="8" t="s">
        <v>117</v>
      </c>
    </row>
    <row r="22" s="1" customFormat="1" ht="20.1" customHeight="1" spans="1:5">
      <c r="A22" s="7">
        <v>45826</v>
      </c>
      <c r="B22" s="8">
        <v>1088</v>
      </c>
      <c r="C22" s="7" t="s">
        <v>18</v>
      </c>
      <c r="D22" s="9" t="s">
        <v>82</v>
      </c>
      <c r="E22" s="7" t="s">
        <v>18</v>
      </c>
    </row>
    <row r="23" s="1" customFormat="1" ht="20.1" customHeight="1" spans="1:5">
      <c r="A23" s="11">
        <v>45827</v>
      </c>
      <c r="B23" s="8">
        <f>365*1</f>
        <v>365</v>
      </c>
      <c r="C23" s="9" t="s">
        <v>11</v>
      </c>
      <c r="D23" s="9" t="s">
        <v>82</v>
      </c>
      <c r="E23" s="8" t="s">
        <v>117</v>
      </c>
    </row>
    <row r="24" s="1" customFormat="1" ht="20.1" customHeight="1" spans="1:5">
      <c r="A24" s="11">
        <v>45828</v>
      </c>
      <c r="B24" s="8">
        <f>365*1</f>
        <v>365</v>
      </c>
      <c r="C24" s="9" t="s">
        <v>11</v>
      </c>
      <c r="D24" s="9" t="s">
        <v>82</v>
      </c>
      <c r="E24" s="8" t="s">
        <v>117</v>
      </c>
    </row>
    <row r="25" s="1" customFormat="1" ht="20.1" customHeight="1" spans="1:5">
      <c r="A25" s="11">
        <v>45831</v>
      </c>
      <c r="B25" s="8">
        <f>365*1</f>
        <v>365</v>
      </c>
      <c r="C25" s="9" t="s">
        <v>11</v>
      </c>
      <c r="D25" s="9" t="s">
        <v>82</v>
      </c>
      <c r="E25" s="8" t="s">
        <v>117</v>
      </c>
    </row>
    <row r="26" s="1" customFormat="1" ht="20.1" customHeight="1" spans="1:5">
      <c r="A26" s="11">
        <v>45831</v>
      </c>
      <c r="B26" s="12">
        <f>-365*1</f>
        <v>-365</v>
      </c>
      <c r="C26" s="9" t="s">
        <v>11</v>
      </c>
      <c r="D26" s="9" t="s">
        <v>82</v>
      </c>
      <c r="E26" s="8" t="s">
        <v>117</v>
      </c>
    </row>
    <row r="27" s="1" customFormat="1" ht="20.1" customHeight="1" spans="1:5">
      <c r="A27" s="11">
        <v>45832</v>
      </c>
      <c r="B27" s="13">
        <f>365*2</f>
        <v>730</v>
      </c>
      <c r="C27" s="9" t="s">
        <v>11</v>
      </c>
      <c r="D27" s="9" t="s">
        <v>82</v>
      </c>
      <c r="E27" s="8" t="s">
        <v>117</v>
      </c>
    </row>
    <row r="28" s="1" customFormat="1" ht="20.1" customHeight="1" spans="1:5">
      <c r="A28" s="7">
        <v>45833</v>
      </c>
      <c r="B28" s="8">
        <v>1088</v>
      </c>
      <c r="C28" s="7" t="s">
        <v>18</v>
      </c>
      <c r="D28" s="9" t="s">
        <v>82</v>
      </c>
      <c r="E28" s="7" t="s">
        <v>18</v>
      </c>
    </row>
    <row r="29" s="1" customFormat="1" ht="20.1" customHeight="1" spans="1:5">
      <c r="A29" s="11">
        <v>45834</v>
      </c>
      <c r="B29" s="8">
        <f>365*1</f>
        <v>365</v>
      </c>
      <c r="C29" s="9" t="s">
        <v>11</v>
      </c>
      <c r="D29" s="9" t="s">
        <v>82</v>
      </c>
      <c r="E29" s="8" t="s">
        <v>117</v>
      </c>
    </row>
    <row r="30" s="1" customFormat="1" ht="20.1" customHeight="1" spans="1:5">
      <c r="A30" s="11">
        <v>45835</v>
      </c>
      <c r="B30" s="8">
        <f>365*1</f>
        <v>365</v>
      </c>
      <c r="C30" s="9" t="s">
        <v>11</v>
      </c>
      <c r="D30" s="9" t="s">
        <v>82</v>
      </c>
      <c r="E30" s="8" t="s">
        <v>117</v>
      </c>
    </row>
    <row r="31" s="1" customFormat="1" ht="20.1" customHeight="1" spans="1:5">
      <c r="A31" s="11">
        <v>45835</v>
      </c>
      <c r="B31" s="12">
        <f>-365*1</f>
        <v>-365</v>
      </c>
      <c r="C31" s="9" t="s">
        <v>11</v>
      </c>
      <c r="D31" s="9" t="s">
        <v>82</v>
      </c>
      <c r="E31" s="8" t="s">
        <v>117</v>
      </c>
    </row>
    <row r="32" s="1" customFormat="1" ht="20.1" customHeight="1" spans="1:5">
      <c r="A32" s="11">
        <v>45838</v>
      </c>
      <c r="B32" s="13">
        <f>365*2</f>
        <v>730</v>
      </c>
      <c r="C32" s="9" t="s">
        <v>11</v>
      </c>
      <c r="D32" s="9" t="s">
        <v>82</v>
      </c>
      <c r="E32" s="8" t="s">
        <v>117</v>
      </c>
    </row>
    <row r="33" s="1" customFormat="1" ht="20.1" customHeight="1" spans="1:5">
      <c r="A33" s="11">
        <v>45839</v>
      </c>
      <c r="B33" s="12">
        <f>-365*1</f>
        <v>-365</v>
      </c>
      <c r="C33" s="9" t="s">
        <v>11</v>
      </c>
      <c r="D33" s="9" t="s">
        <v>82</v>
      </c>
      <c r="E33" s="8" t="s">
        <v>117</v>
      </c>
    </row>
    <row r="34" s="1" customFormat="1" ht="20.1" customHeight="1" spans="1:5">
      <c r="A34" s="11">
        <v>45842</v>
      </c>
      <c r="B34" s="13">
        <f>365*3</f>
        <v>1095</v>
      </c>
      <c r="C34" s="9" t="s">
        <v>11</v>
      </c>
      <c r="D34" s="9" t="s">
        <v>82</v>
      </c>
      <c r="E34" s="8" t="s">
        <v>117</v>
      </c>
    </row>
    <row r="35" s="1" customFormat="1" ht="20.1" customHeight="1" spans="1:5">
      <c r="A35" s="11">
        <v>45843</v>
      </c>
      <c r="B35" s="13">
        <f>365*1</f>
        <v>365</v>
      </c>
      <c r="C35" s="9" t="s">
        <v>11</v>
      </c>
      <c r="D35" s="9" t="s">
        <v>82</v>
      </c>
      <c r="E35" s="8" t="s">
        <v>117</v>
      </c>
    </row>
    <row r="36" s="1" customFormat="1" ht="20.1" customHeight="1" spans="1:5">
      <c r="A36" s="11">
        <v>45844</v>
      </c>
      <c r="B36" s="13">
        <v>365</v>
      </c>
      <c r="C36" s="9" t="s">
        <v>11</v>
      </c>
      <c r="D36" s="9" t="s">
        <v>82</v>
      </c>
      <c r="E36" s="8" t="s">
        <v>117</v>
      </c>
    </row>
    <row r="37" s="1" customFormat="1" ht="20.1" customHeight="1" spans="1:5">
      <c r="A37" s="11">
        <v>45845</v>
      </c>
      <c r="B37" s="12">
        <f>-365*1</f>
        <v>-365</v>
      </c>
      <c r="C37" s="9" t="s">
        <v>11</v>
      </c>
      <c r="D37" s="9" t="s">
        <v>82</v>
      </c>
      <c r="E37" s="8" t="s">
        <v>117</v>
      </c>
    </row>
    <row r="38" s="1" customFormat="1" ht="20.1" customHeight="1" spans="1:5">
      <c r="A38" s="11">
        <v>45846</v>
      </c>
      <c r="B38" s="13">
        <f>365*3</f>
        <v>1095</v>
      </c>
      <c r="C38" s="9" t="s">
        <v>11</v>
      </c>
      <c r="D38" s="9" t="s">
        <v>82</v>
      </c>
      <c r="E38" s="8" t="s">
        <v>117</v>
      </c>
    </row>
    <row r="39" s="1" customFormat="1" ht="20.1" customHeight="1" spans="1:5">
      <c r="A39" s="11">
        <v>45847</v>
      </c>
      <c r="B39" s="13">
        <f>365*3</f>
        <v>1095</v>
      </c>
      <c r="C39" s="9" t="s">
        <v>11</v>
      </c>
      <c r="D39" s="9" t="s">
        <v>82</v>
      </c>
      <c r="E39" s="8" t="s">
        <v>117</v>
      </c>
    </row>
    <row r="40" s="1" customFormat="1" ht="20.1" customHeight="1" spans="1:5">
      <c r="A40" s="11">
        <v>45847</v>
      </c>
      <c r="B40" s="12">
        <f>-365*1</f>
        <v>-365</v>
      </c>
      <c r="C40" s="9" t="s">
        <v>11</v>
      </c>
      <c r="D40" s="9" t="s">
        <v>82</v>
      </c>
      <c r="E40" s="8" t="s">
        <v>117</v>
      </c>
    </row>
    <row r="41" s="1" customFormat="1" ht="20.1" customHeight="1" spans="1:5">
      <c r="A41" s="11">
        <v>45851</v>
      </c>
      <c r="B41" s="13">
        <f>365*2</f>
        <v>730</v>
      </c>
      <c r="C41" s="9" t="s">
        <v>11</v>
      </c>
      <c r="D41" s="9" t="s">
        <v>82</v>
      </c>
      <c r="E41" s="8" t="s">
        <v>117</v>
      </c>
    </row>
    <row r="42" s="1" customFormat="1" ht="20.1" customHeight="1" spans="1:5">
      <c r="A42" s="11">
        <v>45852</v>
      </c>
      <c r="B42" s="13">
        <v>365</v>
      </c>
      <c r="C42" s="9" t="s">
        <v>11</v>
      </c>
      <c r="D42" s="9" t="s">
        <v>82</v>
      </c>
      <c r="E42" s="8" t="s">
        <v>117</v>
      </c>
    </row>
    <row r="43" s="1" customFormat="1" ht="20.1" customHeight="1" spans="1:5">
      <c r="A43" s="11">
        <v>45856</v>
      </c>
      <c r="B43" s="13">
        <f>365*2</f>
        <v>730</v>
      </c>
      <c r="C43" s="9" t="s">
        <v>11</v>
      </c>
      <c r="D43" s="9" t="s">
        <v>82</v>
      </c>
      <c r="E43" s="8" t="s">
        <v>117</v>
      </c>
    </row>
    <row r="44" s="1" customFormat="1" ht="20.1" customHeight="1" spans="1:5">
      <c r="A44" s="11">
        <v>45857</v>
      </c>
      <c r="B44" s="13">
        <f>365*6</f>
        <v>2190</v>
      </c>
      <c r="C44" s="9" t="s">
        <v>11</v>
      </c>
      <c r="D44" s="9" t="s">
        <v>82</v>
      </c>
      <c r="E44" s="8" t="s">
        <v>117</v>
      </c>
    </row>
    <row r="45" s="1" customFormat="1" ht="20.1" customHeight="1" spans="1:5">
      <c r="A45" s="11">
        <v>45859</v>
      </c>
      <c r="B45" s="13">
        <f>365*2</f>
        <v>730</v>
      </c>
      <c r="C45" s="9" t="s">
        <v>11</v>
      </c>
      <c r="D45" s="9" t="s">
        <v>82</v>
      </c>
      <c r="E45" s="8" t="s">
        <v>117</v>
      </c>
    </row>
    <row r="46" s="1" customFormat="1" ht="20.1" customHeight="1" spans="1:5">
      <c r="A46" s="11">
        <v>45860</v>
      </c>
      <c r="B46" s="13">
        <v>365</v>
      </c>
      <c r="C46" s="9" t="s">
        <v>11</v>
      </c>
      <c r="D46" s="9" t="s">
        <v>82</v>
      </c>
      <c r="E46" s="8" t="s">
        <v>117</v>
      </c>
    </row>
    <row r="47" s="1" customFormat="1" ht="20.1" customHeight="1" spans="1:5">
      <c r="A47" s="11">
        <v>45861</v>
      </c>
      <c r="B47" s="13">
        <f>365*14</f>
        <v>5110</v>
      </c>
      <c r="C47" s="9" t="s">
        <v>11</v>
      </c>
      <c r="D47" s="9" t="s">
        <v>82</v>
      </c>
      <c r="E47" s="8" t="s">
        <v>117</v>
      </c>
    </row>
    <row r="48" s="1" customFormat="1" ht="20.1" customHeight="1" spans="1:5">
      <c r="A48" s="11">
        <v>45862</v>
      </c>
      <c r="B48" s="13">
        <f>365*5</f>
        <v>1825</v>
      </c>
      <c r="C48" s="9" t="s">
        <v>11</v>
      </c>
      <c r="D48" s="9" t="s">
        <v>82</v>
      </c>
      <c r="E48" s="8" t="s">
        <v>117</v>
      </c>
    </row>
    <row r="49" s="1" customFormat="1" ht="20.1" customHeight="1" spans="1:5">
      <c r="A49" s="11">
        <v>45863</v>
      </c>
      <c r="B49" s="13">
        <f>365*3</f>
        <v>1095</v>
      </c>
      <c r="C49" s="9" t="s">
        <v>11</v>
      </c>
      <c r="D49" s="9" t="s">
        <v>82</v>
      </c>
      <c r="E49" s="8" t="s">
        <v>117</v>
      </c>
    </row>
    <row r="50" s="1" customFormat="1" ht="20.1" customHeight="1" spans="1:5">
      <c r="A50" s="11">
        <v>45864</v>
      </c>
      <c r="B50" s="12">
        <f>-365*1</f>
        <v>-365</v>
      </c>
      <c r="C50" s="9" t="s">
        <v>11</v>
      </c>
      <c r="D50" s="9" t="s">
        <v>82</v>
      </c>
      <c r="E50" s="8" t="s">
        <v>117</v>
      </c>
    </row>
    <row r="51" s="1" customFormat="1" ht="20.1" customHeight="1" spans="1:5">
      <c r="A51" s="11">
        <v>45867</v>
      </c>
      <c r="B51" s="13">
        <v>365</v>
      </c>
      <c r="C51" s="9" t="s">
        <v>11</v>
      </c>
      <c r="D51" s="9" t="s">
        <v>82</v>
      </c>
      <c r="E51" s="8" t="s">
        <v>117</v>
      </c>
    </row>
    <row r="52" ht="20.1" customHeight="1" spans="1:5">
      <c r="A52" s="11">
        <v>45870</v>
      </c>
      <c r="B52" s="13">
        <f>365*13</f>
        <v>4745</v>
      </c>
      <c r="C52" s="9" t="s">
        <v>11</v>
      </c>
      <c r="D52" s="9" t="s">
        <v>82</v>
      </c>
      <c r="E52" s="8" t="s">
        <v>117</v>
      </c>
    </row>
    <row r="53" ht="20.1" customHeight="1" spans="1:5">
      <c r="A53" s="11">
        <v>45871</v>
      </c>
      <c r="B53" s="12">
        <f>-365*2</f>
        <v>-730</v>
      </c>
      <c r="C53" s="9" t="s">
        <v>11</v>
      </c>
      <c r="D53" s="9" t="s">
        <v>82</v>
      </c>
      <c r="E53" s="8" t="s">
        <v>117</v>
      </c>
    </row>
    <row r="54" ht="20.1" customHeight="1" spans="1:5">
      <c r="A54" s="11">
        <v>45871</v>
      </c>
      <c r="B54" s="13">
        <f>365*2</f>
        <v>730</v>
      </c>
      <c r="C54" s="9" t="s">
        <v>11</v>
      </c>
      <c r="D54" s="9" t="s">
        <v>82</v>
      </c>
      <c r="E54" s="8" t="s">
        <v>117</v>
      </c>
    </row>
    <row r="55" ht="20.1" customHeight="1" spans="1:5">
      <c r="A55" s="11">
        <v>45872</v>
      </c>
      <c r="B55" s="13">
        <f>365*2</f>
        <v>730</v>
      </c>
      <c r="C55" s="9" t="s">
        <v>11</v>
      </c>
      <c r="D55" s="9" t="s">
        <v>82</v>
      </c>
      <c r="E55" s="8" t="s">
        <v>117</v>
      </c>
    </row>
    <row r="56" ht="20.1" customHeight="1" spans="1:5">
      <c r="A56" s="11">
        <v>45873</v>
      </c>
      <c r="B56" s="13">
        <f>365*2</f>
        <v>730</v>
      </c>
      <c r="C56" s="9" t="s">
        <v>11</v>
      </c>
      <c r="D56" s="9" t="s">
        <v>82</v>
      </c>
      <c r="E56" s="8" t="s">
        <v>117</v>
      </c>
    </row>
    <row r="57" ht="20.1" customHeight="1" spans="1:5">
      <c r="A57" s="11">
        <v>45874</v>
      </c>
      <c r="B57" s="13">
        <f>365*2</f>
        <v>730</v>
      </c>
      <c r="C57" s="9" t="s">
        <v>11</v>
      </c>
      <c r="D57" s="9" t="s">
        <v>82</v>
      </c>
      <c r="E57" s="8" t="s">
        <v>117</v>
      </c>
    </row>
    <row r="58" ht="20.1" customHeight="1" spans="1:5">
      <c r="A58" s="11">
        <v>45875</v>
      </c>
      <c r="B58" s="12">
        <f>-365*1</f>
        <v>-365</v>
      </c>
      <c r="C58" s="9" t="s">
        <v>11</v>
      </c>
      <c r="D58" s="9" t="s">
        <v>82</v>
      </c>
      <c r="E58" s="8" t="s">
        <v>117</v>
      </c>
    </row>
    <row r="59" ht="20.1" customHeight="1" spans="1:5">
      <c r="A59" s="11">
        <v>45875</v>
      </c>
      <c r="B59" s="13">
        <f>365*1</f>
        <v>365</v>
      </c>
      <c r="C59" s="9" t="s">
        <v>11</v>
      </c>
      <c r="D59" s="9" t="s">
        <v>82</v>
      </c>
      <c r="E59" s="8" t="s">
        <v>117</v>
      </c>
    </row>
    <row r="60" ht="20.1" customHeight="1" spans="1:5">
      <c r="A60" s="11">
        <v>45877</v>
      </c>
      <c r="B60" s="13">
        <f>365*2</f>
        <v>730</v>
      </c>
      <c r="C60" s="9" t="s">
        <v>11</v>
      </c>
      <c r="D60" s="9" t="s">
        <v>82</v>
      </c>
      <c r="E60" s="8" t="s">
        <v>117</v>
      </c>
    </row>
    <row r="61" ht="20.1" customHeight="1" spans="1:5">
      <c r="A61" s="11">
        <v>45878</v>
      </c>
      <c r="B61" s="13">
        <f>365*1</f>
        <v>365</v>
      </c>
      <c r="C61" s="9" t="s">
        <v>11</v>
      </c>
      <c r="D61" s="9" t="s">
        <v>82</v>
      </c>
      <c r="E61" s="8" t="s">
        <v>117</v>
      </c>
    </row>
    <row r="62" ht="20.1" customHeight="1" spans="1:5">
      <c r="A62" s="11">
        <v>45881</v>
      </c>
      <c r="B62" s="13">
        <f>365*1</f>
        <v>365</v>
      </c>
      <c r="C62" s="9" t="s">
        <v>11</v>
      </c>
      <c r="D62" s="9" t="s">
        <v>82</v>
      </c>
      <c r="E62" s="8" t="s">
        <v>117</v>
      </c>
    </row>
    <row r="63" ht="20.1" customHeight="1" spans="1:5">
      <c r="A63" s="11">
        <v>45882</v>
      </c>
      <c r="B63" s="13">
        <f>365*2</f>
        <v>730</v>
      </c>
      <c r="C63" s="9" t="s">
        <v>11</v>
      </c>
      <c r="D63" s="9" t="s">
        <v>82</v>
      </c>
      <c r="E63" s="8" t="s">
        <v>117</v>
      </c>
    </row>
    <row r="64" ht="20.1" customHeight="1" spans="1:5">
      <c r="A64" s="11">
        <v>45883</v>
      </c>
      <c r="B64" s="13">
        <f>365*3</f>
        <v>1095</v>
      </c>
      <c r="C64" s="9" t="s">
        <v>11</v>
      </c>
      <c r="D64" s="9" t="s">
        <v>82</v>
      </c>
      <c r="E64" s="8" t="s">
        <v>117</v>
      </c>
    </row>
    <row r="65" ht="20.1" customHeight="1" spans="1:5">
      <c r="A65" s="11">
        <v>45883</v>
      </c>
      <c r="B65" s="12">
        <f>-365*2</f>
        <v>-730</v>
      </c>
      <c r="C65" s="9" t="s">
        <v>11</v>
      </c>
      <c r="D65" s="9" t="s">
        <v>82</v>
      </c>
      <c r="E65" s="8" t="s">
        <v>117</v>
      </c>
    </row>
    <row r="66" ht="20.1" customHeight="1" spans="1:5">
      <c r="A66" s="11">
        <v>45885</v>
      </c>
      <c r="B66" s="13">
        <f>365*1</f>
        <v>365</v>
      </c>
      <c r="C66" s="9" t="s">
        <v>11</v>
      </c>
      <c r="D66" s="9" t="s">
        <v>82</v>
      </c>
      <c r="E66" s="8" t="s">
        <v>117</v>
      </c>
    </row>
    <row r="67" ht="20.1" customHeight="1" spans="1:5">
      <c r="A67" s="11">
        <v>45886</v>
      </c>
      <c r="B67" s="12">
        <f>-365*1</f>
        <v>-365</v>
      </c>
      <c r="C67" s="9" t="s">
        <v>11</v>
      </c>
      <c r="D67" s="9" t="s">
        <v>82</v>
      </c>
      <c r="E67" s="8" t="s">
        <v>117</v>
      </c>
    </row>
    <row r="68" ht="20.1" customHeight="1" spans="1:5">
      <c r="A68" s="11">
        <v>45886</v>
      </c>
      <c r="B68" s="13">
        <f>365*1</f>
        <v>365</v>
      </c>
      <c r="C68" s="9" t="s">
        <v>11</v>
      </c>
      <c r="D68" s="9" t="s">
        <v>82</v>
      </c>
      <c r="E68" s="8" t="s">
        <v>117</v>
      </c>
    </row>
    <row r="69" ht="20.1" customHeight="1" spans="1:5">
      <c r="A69" s="11">
        <v>45888</v>
      </c>
      <c r="B69" s="13">
        <f>365*1</f>
        <v>365</v>
      </c>
      <c r="C69" s="9" t="s">
        <v>11</v>
      </c>
      <c r="D69" s="9" t="s">
        <v>82</v>
      </c>
      <c r="E69" s="8" t="s">
        <v>117</v>
      </c>
    </row>
    <row r="70" ht="20.1" customHeight="1" spans="1:5">
      <c r="A70" s="11">
        <v>45888</v>
      </c>
      <c r="B70" s="12">
        <f>-365*1</f>
        <v>-365</v>
      </c>
      <c r="C70" s="9" t="s">
        <v>11</v>
      </c>
      <c r="D70" s="9" t="s">
        <v>82</v>
      </c>
      <c r="E70" s="8" t="s">
        <v>117</v>
      </c>
    </row>
    <row r="71" ht="20.1" customHeight="1" spans="1:5">
      <c r="A71" s="11">
        <v>45889</v>
      </c>
      <c r="B71" s="12">
        <f>-365*1</f>
        <v>-365</v>
      </c>
      <c r="C71" s="9" t="s">
        <v>11</v>
      </c>
      <c r="D71" s="9" t="s">
        <v>82</v>
      </c>
      <c r="E71" s="8" t="s">
        <v>117</v>
      </c>
    </row>
    <row r="72" ht="20.1" customHeight="1" spans="1:5">
      <c r="A72" s="11">
        <v>45889</v>
      </c>
      <c r="B72" s="13">
        <f>365*1</f>
        <v>365</v>
      </c>
      <c r="C72" s="9" t="s">
        <v>11</v>
      </c>
      <c r="D72" s="9" t="s">
        <v>82</v>
      </c>
      <c r="E72" s="8" t="s">
        <v>117</v>
      </c>
    </row>
    <row r="73" ht="20.1" customHeight="1" spans="1:5">
      <c r="A73" s="11">
        <v>45890</v>
      </c>
      <c r="B73" s="13">
        <f>365*2</f>
        <v>730</v>
      </c>
      <c r="C73" s="9" t="s">
        <v>11</v>
      </c>
      <c r="D73" s="9" t="s">
        <v>82</v>
      </c>
      <c r="E73" s="8" t="s">
        <v>117</v>
      </c>
    </row>
    <row r="74" ht="20.1" customHeight="1" spans="1:5">
      <c r="A74" s="11">
        <v>45890</v>
      </c>
      <c r="B74" s="8">
        <v>1088</v>
      </c>
      <c r="C74" s="7" t="s">
        <v>18</v>
      </c>
      <c r="D74" s="9" t="s">
        <v>82</v>
      </c>
      <c r="E74" s="7" t="s">
        <v>18</v>
      </c>
    </row>
    <row r="75" ht="20.1" customHeight="1" spans="1:5">
      <c r="A75" s="11">
        <v>45891</v>
      </c>
      <c r="B75" s="13">
        <f>365*2</f>
        <v>730</v>
      </c>
      <c r="C75" s="9" t="s">
        <v>11</v>
      </c>
      <c r="D75" s="9" t="s">
        <v>82</v>
      </c>
      <c r="E75" s="8" t="s">
        <v>117</v>
      </c>
    </row>
    <row r="76" ht="20.1" customHeight="1" spans="1:5">
      <c r="A76" s="11">
        <v>45892</v>
      </c>
      <c r="B76" s="13">
        <f>365*1</f>
        <v>365</v>
      </c>
      <c r="C76" s="9" t="s">
        <v>11</v>
      </c>
      <c r="D76" s="9" t="s">
        <v>82</v>
      </c>
      <c r="E76" s="8" t="s">
        <v>117</v>
      </c>
    </row>
    <row r="77" ht="20.1" customHeight="1" spans="1:5">
      <c r="A77" s="11">
        <v>45893</v>
      </c>
      <c r="B77" s="13">
        <f>365*4</f>
        <v>1460</v>
      </c>
      <c r="C77" s="9" t="s">
        <v>11</v>
      </c>
      <c r="D77" s="9" t="s">
        <v>82</v>
      </c>
      <c r="E77" s="8" t="s">
        <v>117</v>
      </c>
    </row>
    <row r="78" ht="20.1" customHeight="1" spans="1:5">
      <c r="A78" s="11">
        <v>45894</v>
      </c>
      <c r="B78" s="13">
        <f>365*4</f>
        <v>1460</v>
      </c>
      <c r="C78" s="9" t="s">
        <v>11</v>
      </c>
      <c r="D78" s="9" t="s">
        <v>82</v>
      </c>
      <c r="E78" s="8" t="s">
        <v>117</v>
      </c>
    </row>
    <row r="79" ht="20.1" customHeight="1" spans="1:5">
      <c r="A79" s="11">
        <v>45894</v>
      </c>
      <c r="B79" s="12">
        <f>-365*1</f>
        <v>-365</v>
      </c>
      <c r="C79" s="9" t="s">
        <v>11</v>
      </c>
      <c r="D79" s="9" t="s">
        <v>82</v>
      </c>
      <c r="E79" s="8" t="s">
        <v>117</v>
      </c>
    </row>
    <row r="80" ht="20.1" customHeight="1" spans="1:5">
      <c r="A80" s="11">
        <v>45895</v>
      </c>
      <c r="B80" s="13">
        <f>365*12</f>
        <v>4380</v>
      </c>
      <c r="C80" s="9" t="s">
        <v>11</v>
      </c>
      <c r="D80" s="9" t="s">
        <v>82</v>
      </c>
      <c r="E80" s="8" t="s">
        <v>117</v>
      </c>
    </row>
    <row r="81" ht="20.1" customHeight="1" spans="1:5">
      <c r="A81" s="11">
        <v>45896</v>
      </c>
      <c r="B81" s="12">
        <f>-365*2</f>
        <v>-730</v>
      </c>
      <c r="C81" s="9" t="s">
        <v>11</v>
      </c>
      <c r="D81" s="9" t="s">
        <v>82</v>
      </c>
      <c r="E81" s="8" t="s">
        <v>117</v>
      </c>
    </row>
    <row r="82" ht="20.1" customHeight="1" spans="1:5">
      <c r="A82" s="11">
        <v>45896</v>
      </c>
      <c r="B82" s="13">
        <f>365*22</f>
        <v>8030</v>
      </c>
      <c r="C82" s="9" t="s">
        <v>11</v>
      </c>
      <c r="D82" s="9" t="s">
        <v>82</v>
      </c>
      <c r="E82" s="8" t="s">
        <v>117</v>
      </c>
    </row>
    <row r="83" ht="20.1" customHeight="1" spans="1:5">
      <c r="A83" s="11">
        <v>45897</v>
      </c>
      <c r="B83" s="12">
        <f>-365*1</f>
        <v>-365</v>
      </c>
      <c r="C83" s="9" t="s">
        <v>11</v>
      </c>
      <c r="D83" s="9" t="s">
        <v>82</v>
      </c>
      <c r="E83" s="8" t="s">
        <v>117</v>
      </c>
    </row>
    <row r="84" ht="20.1" customHeight="1" spans="1:5">
      <c r="A84" s="11">
        <v>45897</v>
      </c>
      <c r="B84" s="13">
        <f>365*6</f>
        <v>2190</v>
      </c>
      <c r="C84" s="9" t="s">
        <v>11</v>
      </c>
      <c r="D84" s="9" t="s">
        <v>82</v>
      </c>
      <c r="E84" s="8" t="s">
        <v>117</v>
      </c>
    </row>
    <row r="85" ht="20.1" customHeight="1" spans="1:5">
      <c r="A85" s="11">
        <v>45898</v>
      </c>
      <c r="B85" s="13">
        <f>365*7</f>
        <v>2555</v>
      </c>
      <c r="C85" s="9" t="s">
        <v>11</v>
      </c>
      <c r="D85" s="9" t="s">
        <v>82</v>
      </c>
      <c r="E85" s="8" t="s">
        <v>117</v>
      </c>
    </row>
    <row r="86" ht="20.1" customHeight="1" spans="1:5">
      <c r="A86" s="11">
        <v>45898</v>
      </c>
      <c r="B86" s="12">
        <f>-365*1</f>
        <v>-365</v>
      </c>
      <c r="C86" s="9" t="s">
        <v>11</v>
      </c>
      <c r="D86" s="9" t="s">
        <v>82</v>
      </c>
      <c r="E86" s="8" t="s">
        <v>117</v>
      </c>
    </row>
    <row r="87" ht="20.1" customHeight="1" spans="1:5">
      <c r="A87" s="11">
        <v>45899</v>
      </c>
      <c r="B87" s="13">
        <f>365*2</f>
        <v>730</v>
      </c>
      <c r="C87" s="9" t="s">
        <v>11</v>
      </c>
      <c r="D87" s="9" t="s">
        <v>82</v>
      </c>
      <c r="E87" s="8" t="s">
        <v>117</v>
      </c>
    </row>
    <row r="88" ht="20.1" customHeight="1" spans="1:5">
      <c r="A88" s="11">
        <v>45900</v>
      </c>
      <c r="B88" s="13">
        <f>365*1</f>
        <v>365</v>
      </c>
      <c r="C88" s="9" t="s">
        <v>11</v>
      </c>
      <c r="D88" s="9" t="s">
        <v>82</v>
      </c>
      <c r="E88" s="8" t="s">
        <v>117</v>
      </c>
    </row>
    <row r="89" ht="20.1" customHeight="1" spans="1:5">
      <c r="A89" s="11">
        <v>45901</v>
      </c>
      <c r="B89" s="13">
        <f>365*6</f>
        <v>2190</v>
      </c>
      <c r="C89" s="9" t="s">
        <v>11</v>
      </c>
      <c r="D89" s="9" t="s">
        <v>82</v>
      </c>
      <c r="E89" s="8" t="s">
        <v>117</v>
      </c>
    </row>
    <row r="90" ht="20.1" customHeight="1" spans="1:5">
      <c r="A90" s="11">
        <v>45901</v>
      </c>
      <c r="B90" s="12">
        <f>-365*1</f>
        <v>-365</v>
      </c>
      <c r="C90" s="9" t="s">
        <v>11</v>
      </c>
      <c r="D90" s="9" t="s">
        <v>82</v>
      </c>
      <c r="E90" s="8" t="s">
        <v>117</v>
      </c>
    </row>
    <row r="91" ht="20.1" customHeight="1" spans="1:5">
      <c r="A91" s="11">
        <v>45902</v>
      </c>
      <c r="B91" s="13">
        <f>365*6</f>
        <v>2190</v>
      </c>
      <c r="C91" s="9" t="s">
        <v>11</v>
      </c>
      <c r="D91" s="9" t="s">
        <v>82</v>
      </c>
      <c r="E91" s="8" t="s">
        <v>117</v>
      </c>
    </row>
    <row r="92" ht="20.1" customHeight="1" spans="1:5">
      <c r="A92" s="11">
        <v>45903</v>
      </c>
      <c r="B92" s="13">
        <f>365*4</f>
        <v>1460</v>
      </c>
      <c r="C92" s="9" t="s">
        <v>11</v>
      </c>
      <c r="D92" s="9" t="s">
        <v>82</v>
      </c>
      <c r="E92" s="8" t="s">
        <v>117</v>
      </c>
    </row>
    <row r="93" ht="20.1" customHeight="1" spans="1:5">
      <c r="A93" s="11">
        <v>45904</v>
      </c>
      <c r="B93" s="13">
        <f>365*2</f>
        <v>730</v>
      </c>
      <c r="C93" s="9" t="s">
        <v>11</v>
      </c>
      <c r="D93" s="9" t="s">
        <v>82</v>
      </c>
      <c r="E93" s="8" t="s">
        <v>117</v>
      </c>
    </row>
    <row r="94" ht="20.1" customHeight="1" spans="1:5">
      <c r="A94" s="11">
        <v>45904</v>
      </c>
      <c r="B94" s="12">
        <f>-365*1</f>
        <v>-365</v>
      </c>
      <c r="C94" s="9" t="s">
        <v>11</v>
      </c>
      <c r="D94" s="9" t="s">
        <v>82</v>
      </c>
      <c r="E94" s="8" t="s">
        <v>117</v>
      </c>
    </row>
    <row r="95" ht="20.1" customHeight="1" spans="1:5">
      <c r="A95" s="11">
        <v>45905</v>
      </c>
      <c r="B95" s="13">
        <f>365*2</f>
        <v>730</v>
      </c>
      <c r="C95" s="9" t="s">
        <v>11</v>
      </c>
      <c r="D95" s="9" t="s">
        <v>82</v>
      </c>
      <c r="E95" s="8" t="s">
        <v>117</v>
      </c>
    </row>
    <row r="96" ht="20.1" customHeight="1" spans="1:5">
      <c r="A96" s="11">
        <v>45906</v>
      </c>
      <c r="B96" s="13">
        <f>365*1</f>
        <v>365</v>
      </c>
      <c r="C96" s="9" t="s">
        <v>11</v>
      </c>
      <c r="D96" s="9" t="s">
        <v>82</v>
      </c>
      <c r="E96" s="8" t="s">
        <v>117</v>
      </c>
    </row>
    <row r="97" ht="20.1" customHeight="1" spans="1:5">
      <c r="A97" s="11">
        <v>45907</v>
      </c>
      <c r="B97" s="13">
        <f>365*2</f>
        <v>730</v>
      </c>
      <c r="C97" s="9" t="s">
        <v>11</v>
      </c>
      <c r="D97" s="9" t="s">
        <v>82</v>
      </c>
      <c r="E97" s="8" t="s">
        <v>117</v>
      </c>
    </row>
    <row r="98" ht="20.1" customHeight="1" spans="1:5">
      <c r="A98" s="11">
        <v>45908</v>
      </c>
      <c r="B98" s="12">
        <f>-365*1</f>
        <v>-365</v>
      </c>
      <c r="C98" s="9" t="s">
        <v>11</v>
      </c>
      <c r="D98" s="9" t="s">
        <v>82</v>
      </c>
      <c r="E98" s="8" t="s">
        <v>117</v>
      </c>
    </row>
    <row r="99" ht="20.1" customHeight="1" spans="1:5">
      <c r="A99" s="11">
        <v>45909</v>
      </c>
      <c r="B99" s="13">
        <f>365*1</f>
        <v>365</v>
      </c>
      <c r="C99" s="9" t="s">
        <v>11</v>
      </c>
      <c r="D99" s="9" t="s">
        <v>82</v>
      </c>
      <c r="E99" s="8" t="s">
        <v>117</v>
      </c>
    </row>
    <row r="100" ht="20.1" customHeight="1" spans="1:5">
      <c r="A100" s="11">
        <v>45909</v>
      </c>
      <c r="B100" s="12">
        <f>-365*1</f>
        <v>-365</v>
      </c>
      <c r="C100" s="9" t="s">
        <v>11</v>
      </c>
      <c r="D100" s="9" t="s">
        <v>82</v>
      </c>
      <c r="E100" s="8" t="s">
        <v>117</v>
      </c>
    </row>
    <row r="101" ht="20.1" customHeight="1" spans="1:5">
      <c r="A101" s="11">
        <v>45910</v>
      </c>
      <c r="B101" s="13">
        <f>365*1</f>
        <v>365</v>
      </c>
      <c r="C101" s="9" t="s">
        <v>11</v>
      </c>
      <c r="D101" s="9" t="s">
        <v>82</v>
      </c>
      <c r="E101" s="8" t="s">
        <v>117</v>
      </c>
    </row>
    <row r="102" ht="20.1" customHeight="1" spans="1:5">
      <c r="A102" s="11">
        <v>45911</v>
      </c>
      <c r="B102" s="13">
        <f>365*1</f>
        <v>365</v>
      </c>
      <c r="C102" s="9" t="s">
        <v>11</v>
      </c>
      <c r="D102" s="9" t="s">
        <v>82</v>
      </c>
      <c r="E102" s="8" t="s">
        <v>117</v>
      </c>
    </row>
    <row r="103" ht="20.1" customHeight="1" spans="1:5">
      <c r="A103" s="11">
        <v>45912</v>
      </c>
      <c r="B103" s="13">
        <f>365*3</f>
        <v>1095</v>
      </c>
      <c r="C103" s="9" t="s">
        <v>11</v>
      </c>
      <c r="D103" s="9" t="s">
        <v>82</v>
      </c>
      <c r="E103" s="8" t="s">
        <v>117</v>
      </c>
    </row>
    <row r="104" ht="20.1" customHeight="1" spans="1:5">
      <c r="A104" s="11">
        <v>45913</v>
      </c>
      <c r="B104" s="13">
        <f>365*2</f>
        <v>730</v>
      </c>
      <c r="C104" s="9" t="s">
        <v>11</v>
      </c>
      <c r="D104" s="9" t="s">
        <v>82</v>
      </c>
      <c r="E104" s="8" t="s">
        <v>117</v>
      </c>
    </row>
    <row r="105" ht="20.1" customHeight="1" spans="1:5">
      <c r="A105" s="11">
        <v>45914</v>
      </c>
      <c r="B105" s="13">
        <f>365*2</f>
        <v>730</v>
      </c>
      <c r="C105" s="9" t="s">
        <v>11</v>
      </c>
      <c r="D105" s="9" t="s">
        <v>82</v>
      </c>
      <c r="E105" s="8" t="s">
        <v>117</v>
      </c>
    </row>
    <row r="106" ht="20.1" customHeight="1" spans="1:5">
      <c r="A106" s="11">
        <v>45916</v>
      </c>
      <c r="B106" s="13">
        <f>365*4</f>
        <v>1460</v>
      </c>
      <c r="C106" s="9" t="s">
        <v>11</v>
      </c>
      <c r="D106" s="9" t="s">
        <v>82</v>
      </c>
      <c r="E106" s="8" t="s">
        <v>117</v>
      </c>
    </row>
    <row r="107" ht="20.1" customHeight="1" spans="1:5">
      <c r="A107" s="11">
        <v>45916</v>
      </c>
      <c r="B107" s="12">
        <f>-365*1</f>
        <v>-365</v>
      </c>
      <c r="C107" s="9" t="s">
        <v>11</v>
      </c>
      <c r="D107" s="9" t="s">
        <v>82</v>
      </c>
      <c r="E107" s="8" t="s">
        <v>117</v>
      </c>
    </row>
    <row r="108" ht="20.1" customHeight="1" spans="1:5">
      <c r="A108" s="11">
        <v>45917</v>
      </c>
      <c r="B108" s="13">
        <f>365*1</f>
        <v>365</v>
      </c>
      <c r="C108" s="9" t="s">
        <v>11</v>
      </c>
      <c r="D108" s="9" t="s">
        <v>82</v>
      </c>
      <c r="E108" s="8" t="s">
        <v>117</v>
      </c>
    </row>
    <row r="109" ht="20.1" customHeight="1" spans="1:5">
      <c r="A109" s="11">
        <v>45919</v>
      </c>
      <c r="B109" s="13">
        <v>3650</v>
      </c>
      <c r="C109" s="9" t="s">
        <v>11</v>
      </c>
      <c r="D109" s="9" t="s">
        <v>82</v>
      </c>
      <c r="E109" s="8" t="s">
        <v>117</v>
      </c>
    </row>
    <row r="110" ht="20.1" customHeight="1" spans="1:5">
      <c r="A110" s="11">
        <v>45919</v>
      </c>
      <c r="B110" s="14">
        <f>-365*1</f>
        <v>-365</v>
      </c>
      <c r="C110" s="9" t="s">
        <v>11</v>
      </c>
      <c r="D110" s="9" t="s">
        <v>82</v>
      </c>
      <c r="E110" s="8" t="s">
        <v>117</v>
      </c>
    </row>
    <row r="111" ht="20.1" customHeight="1" spans="1:5">
      <c r="A111" s="11">
        <v>45920</v>
      </c>
      <c r="B111" s="13">
        <v>1460</v>
      </c>
      <c r="C111" s="9" t="s">
        <v>11</v>
      </c>
      <c r="D111" s="9" t="s">
        <v>82</v>
      </c>
      <c r="E111" s="8" t="s">
        <v>117</v>
      </c>
    </row>
    <row r="112" ht="20.1" customHeight="1" spans="1:5">
      <c r="A112" s="11">
        <v>45920</v>
      </c>
      <c r="B112" s="14">
        <f>-365*1</f>
        <v>-365</v>
      </c>
      <c r="C112" s="9" t="s">
        <v>11</v>
      </c>
      <c r="D112" s="9" t="s">
        <v>82</v>
      </c>
      <c r="E112" s="8" t="s">
        <v>117</v>
      </c>
    </row>
    <row r="113" ht="20.1" customHeight="1" spans="1:5">
      <c r="A113" s="11">
        <v>45921</v>
      </c>
      <c r="B113" s="13">
        <v>365</v>
      </c>
      <c r="C113" s="9" t="s">
        <v>11</v>
      </c>
      <c r="D113" s="9" t="s">
        <v>82</v>
      </c>
      <c r="E113" s="8" t="s">
        <v>117</v>
      </c>
    </row>
    <row r="114" ht="20.1" customHeight="1" spans="1:5">
      <c r="A114" s="11">
        <v>45922</v>
      </c>
      <c r="B114" s="13">
        <v>730</v>
      </c>
      <c r="C114" s="9" t="s">
        <v>11</v>
      </c>
      <c r="D114" s="9" t="s">
        <v>82</v>
      </c>
      <c r="E114" s="8" t="s">
        <v>117</v>
      </c>
    </row>
    <row r="115" ht="20.1" customHeight="1" spans="1:5">
      <c r="A115" s="11">
        <v>45924</v>
      </c>
      <c r="B115" s="13">
        <v>365</v>
      </c>
      <c r="C115" s="9" t="s">
        <v>11</v>
      </c>
      <c r="D115" s="9" t="s">
        <v>82</v>
      </c>
      <c r="E115" s="8" t="s">
        <v>117</v>
      </c>
    </row>
    <row r="116" ht="20.1" customHeight="1" spans="1:5">
      <c r="A116" s="11">
        <v>45925</v>
      </c>
      <c r="B116" s="13">
        <v>365</v>
      </c>
      <c r="C116" s="9" t="s">
        <v>11</v>
      </c>
      <c r="D116" s="9" t="s">
        <v>82</v>
      </c>
      <c r="E116" s="8" t="s">
        <v>117</v>
      </c>
    </row>
    <row r="117" ht="20.1" customHeight="1" spans="1:5">
      <c r="A117" s="11">
        <v>45926</v>
      </c>
      <c r="B117" s="13">
        <v>1095</v>
      </c>
      <c r="C117" s="9" t="s">
        <v>11</v>
      </c>
      <c r="D117" s="9" t="s">
        <v>82</v>
      </c>
      <c r="E117" s="8" t="s">
        <v>117</v>
      </c>
    </row>
    <row r="118" ht="20.1" customHeight="1" spans="1:5">
      <c r="A118" s="11">
        <v>45927</v>
      </c>
      <c r="B118" s="13">
        <v>1460</v>
      </c>
      <c r="C118" s="9" t="s">
        <v>11</v>
      </c>
      <c r="D118" s="9" t="s">
        <v>82</v>
      </c>
      <c r="E118" s="8" t="s">
        <v>117</v>
      </c>
    </row>
    <row r="119" ht="20.1" customHeight="1" spans="1:5">
      <c r="A119" s="11">
        <v>45928</v>
      </c>
      <c r="B119" s="13">
        <v>730</v>
      </c>
      <c r="C119" s="9" t="s">
        <v>11</v>
      </c>
      <c r="D119" s="9" t="s">
        <v>82</v>
      </c>
      <c r="E119" s="8" t="s">
        <v>117</v>
      </c>
    </row>
    <row r="120" ht="20.1" customHeight="1" spans="1:5">
      <c r="A120" s="11">
        <v>45929</v>
      </c>
      <c r="B120" s="13">
        <v>365</v>
      </c>
      <c r="C120" s="9" t="s">
        <v>11</v>
      </c>
      <c r="D120" s="9" t="s">
        <v>82</v>
      </c>
      <c r="E120" s="8" t="s">
        <v>117</v>
      </c>
    </row>
    <row r="121" ht="20.1" customHeight="1" spans="1:5">
      <c r="A121" s="11">
        <v>45933</v>
      </c>
      <c r="B121" s="13">
        <f>365*1</f>
        <v>365</v>
      </c>
      <c r="C121" s="9" t="s">
        <v>11</v>
      </c>
      <c r="D121" s="9" t="s">
        <v>82</v>
      </c>
      <c r="E121" s="8" t="s">
        <v>117</v>
      </c>
    </row>
    <row r="122" ht="20.1" customHeight="1" spans="1:5">
      <c r="A122" s="11">
        <v>45934</v>
      </c>
      <c r="B122" s="13">
        <f>365*1</f>
        <v>365</v>
      </c>
      <c r="C122" s="9" t="s">
        <v>11</v>
      </c>
      <c r="D122" s="9" t="s">
        <v>82</v>
      </c>
      <c r="E122" s="8" t="s">
        <v>117</v>
      </c>
    </row>
    <row r="123" ht="20.1" customHeight="1" spans="1:5">
      <c r="A123" s="11">
        <v>45934</v>
      </c>
      <c r="B123" s="12">
        <f>-365*1</f>
        <v>-365</v>
      </c>
      <c r="C123" s="9" t="s">
        <v>11</v>
      </c>
      <c r="D123" s="9" t="s">
        <v>82</v>
      </c>
      <c r="E123" s="8" t="s">
        <v>117</v>
      </c>
    </row>
    <row r="124" ht="20.1" customHeight="1" spans="1:5">
      <c r="A124" s="11">
        <v>45935</v>
      </c>
      <c r="B124" s="13">
        <f>365*1</f>
        <v>365</v>
      </c>
      <c r="C124" s="9" t="s">
        <v>11</v>
      </c>
      <c r="D124" s="9" t="s">
        <v>82</v>
      </c>
      <c r="E124" s="8" t="s">
        <v>117</v>
      </c>
    </row>
    <row r="125" ht="20.1" customHeight="1" spans="1:5">
      <c r="A125" s="11">
        <v>45938</v>
      </c>
      <c r="B125" s="13">
        <f>365*5</f>
        <v>1825</v>
      </c>
      <c r="C125" s="9" t="s">
        <v>11</v>
      </c>
      <c r="D125" s="9" t="s">
        <v>82</v>
      </c>
      <c r="E125" s="8" t="s">
        <v>117</v>
      </c>
    </row>
    <row r="126" ht="20.1" customHeight="1" spans="1:5">
      <c r="A126" s="11">
        <v>45940</v>
      </c>
      <c r="B126" s="13">
        <f>365*1</f>
        <v>365</v>
      </c>
      <c r="C126" s="9" t="s">
        <v>11</v>
      </c>
      <c r="D126" s="9" t="s">
        <v>82</v>
      </c>
      <c r="E126" s="8" t="s">
        <v>117</v>
      </c>
    </row>
    <row r="127" ht="20.1" customHeight="1" spans="1:5">
      <c r="A127" s="11">
        <v>45943</v>
      </c>
      <c r="B127" s="13">
        <f>648*1</f>
        <v>648</v>
      </c>
      <c r="C127" s="9" t="s">
        <v>11</v>
      </c>
      <c r="D127" s="9" t="s">
        <v>82</v>
      </c>
      <c r="E127" s="8" t="s">
        <v>117</v>
      </c>
    </row>
    <row r="128" ht="20.1" customHeight="1" spans="1:5">
      <c r="A128" s="11">
        <v>45944</v>
      </c>
      <c r="B128" s="13">
        <f>427*1+648*1</f>
        <v>1075</v>
      </c>
      <c r="C128" s="9" t="s">
        <v>11</v>
      </c>
      <c r="D128" s="9" t="s">
        <v>82</v>
      </c>
      <c r="E128" s="8" t="s">
        <v>117</v>
      </c>
    </row>
    <row r="129" ht="20.1" customHeight="1" spans="1:5">
      <c r="A129" s="11">
        <v>45945</v>
      </c>
      <c r="B129" s="13">
        <f>648*1</f>
        <v>648</v>
      </c>
      <c r="C129" s="9" t="s">
        <v>11</v>
      </c>
      <c r="D129" s="9" t="s">
        <v>82</v>
      </c>
      <c r="E129" s="8" t="s">
        <v>117</v>
      </c>
    </row>
    <row r="130" ht="20.1" customHeight="1" spans="1:5">
      <c r="A130" s="11">
        <v>45946</v>
      </c>
      <c r="B130" s="13">
        <f>648*2</f>
        <v>1296</v>
      </c>
      <c r="C130" s="9" t="s">
        <v>11</v>
      </c>
      <c r="D130" s="9" t="s">
        <v>82</v>
      </c>
      <c r="E130" s="8" t="s">
        <v>117</v>
      </c>
    </row>
    <row r="131" ht="20.1" customHeight="1" spans="1:5">
      <c r="A131" s="11">
        <v>45947</v>
      </c>
      <c r="B131" s="13">
        <f>648*5+427*1</f>
        <v>3667</v>
      </c>
      <c r="C131" s="9" t="s">
        <v>11</v>
      </c>
      <c r="D131" s="9" t="s">
        <v>82</v>
      </c>
      <c r="E131" s="8" t="s">
        <v>117</v>
      </c>
    </row>
    <row r="132" ht="20.1" customHeight="1" spans="1:5">
      <c r="A132" s="11">
        <v>45949</v>
      </c>
      <c r="B132" s="13">
        <f>648*1</f>
        <v>648</v>
      </c>
      <c r="C132" s="9" t="s">
        <v>11</v>
      </c>
      <c r="D132" s="9" t="s">
        <v>82</v>
      </c>
      <c r="E132" s="8" t="s">
        <v>117</v>
      </c>
    </row>
    <row r="133" ht="20.1" customHeight="1" spans="1:5">
      <c r="A133" s="11">
        <v>45950</v>
      </c>
      <c r="B133" s="13">
        <f>648*5+427*2</f>
        <v>4094</v>
      </c>
      <c r="C133" s="9" t="s">
        <v>11</v>
      </c>
      <c r="D133" s="9" t="s">
        <v>82</v>
      </c>
      <c r="E133" s="8" t="s">
        <v>117</v>
      </c>
    </row>
    <row r="134" ht="20.1" customHeight="1" spans="1:5">
      <c r="A134" s="11">
        <v>45951</v>
      </c>
      <c r="B134" s="13">
        <f>648*4+427*3</f>
        <v>3873</v>
      </c>
      <c r="C134" s="9" t="s">
        <v>11</v>
      </c>
      <c r="D134" s="9" t="s">
        <v>82</v>
      </c>
      <c r="E134" s="8" t="s">
        <v>117</v>
      </c>
    </row>
    <row r="135" ht="20.1" customHeight="1" spans="1:5">
      <c r="A135" s="11">
        <v>45951</v>
      </c>
      <c r="B135" s="12">
        <f>-648*1</f>
        <v>-648</v>
      </c>
      <c r="C135" s="9" t="s">
        <v>11</v>
      </c>
      <c r="D135" s="9" t="s">
        <v>82</v>
      </c>
      <c r="E135" s="8" t="s">
        <v>117</v>
      </c>
    </row>
    <row r="136" ht="20.1" customHeight="1" spans="1:5">
      <c r="A136" s="11">
        <v>45952</v>
      </c>
      <c r="B136" s="13">
        <f>648*1</f>
        <v>648</v>
      </c>
      <c r="C136" s="9" t="s">
        <v>11</v>
      </c>
      <c r="D136" s="9" t="s">
        <v>82</v>
      </c>
      <c r="E136" s="8" t="s">
        <v>117</v>
      </c>
    </row>
    <row r="137" ht="20.1" customHeight="1" spans="1:5">
      <c r="A137" s="11">
        <v>45952</v>
      </c>
      <c r="B137" s="12">
        <f>-648*2</f>
        <v>-1296</v>
      </c>
      <c r="C137" s="9" t="s">
        <v>11</v>
      </c>
      <c r="D137" s="9" t="s">
        <v>82</v>
      </c>
      <c r="E137" s="8" t="s">
        <v>117</v>
      </c>
    </row>
    <row r="138" ht="20.1" customHeight="1" spans="1:5">
      <c r="A138" s="11">
        <v>45953</v>
      </c>
      <c r="B138" s="13">
        <f>648*1</f>
        <v>648</v>
      </c>
      <c r="C138" s="9" t="s">
        <v>11</v>
      </c>
      <c r="D138" s="9" t="s">
        <v>82</v>
      </c>
      <c r="E138" s="8" t="s">
        <v>117</v>
      </c>
    </row>
    <row r="139" ht="20.1" customHeight="1" spans="1:5">
      <c r="A139" s="11">
        <v>45955</v>
      </c>
      <c r="B139" s="13">
        <f>648*2</f>
        <v>1296</v>
      </c>
      <c r="C139" s="9" t="s">
        <v>11</v>
      </c>
      <c r="D139" s="9" t="s">
        <v>82</v>
      </c>
      <c r="E139" s="8" t="s">
        <v>117</v>
      </c>
    </row>
  </sheetData>
  <autoFilter xmlns:etc="http://www.wps.cn/officeDocument/2017/etCustomData" ref="E1:E139" etc:filterBottomFollowUsedRange="0">
    <extLst/>
  </autoFilter>
  <mergeCells count="4">
    <mergeCell ref="D1:E1"/>
    <mergeCell ref="A1:A2"/>
    <mergeCell ref="B1:B2"/>
    <mergeCell ref="C1:C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业务收入表(2025年)</vt:lpstr>
      <vt:lpstr>总收入</vt:lpstr>
      <vt:lpstr>资产</vt:lpstr>
      <vt:lpstr>至明</vt:lpstr>
      <vt:lpstr>明启星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陈晨</cp:lastModifiedBy>
  <dcterms:created xsi:type="dcterms:W3CDTF">2006-09-16T08:00:00Z</dcterms:created>
  <dcterms:modified xsi:type="dcterms:W3CDTF">2025-11-11T17:00:49Z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FCFC3ECA8DF07B5438FB12698E3D9104_42</vt:lpwstr>
  </property>
  <property fmtid="{D5CDD505-2E9C-101B-9397-08002B2CF9AE}" pid="3" name="KSOProductBuildVer">
    <vt:lpwstr>2052-12.1.23540.23540</vt:lpwstr>
  </property>
</Properties>
</file>